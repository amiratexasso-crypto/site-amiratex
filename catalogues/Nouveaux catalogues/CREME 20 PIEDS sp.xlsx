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3256" windowHeight="13176"/>
  </bookViews>
  <sheets>
    <sheet name="Folha1" sheetId="1" r:id="rId1"/>
  </sheets>
  <definedNames>
    <definedName name="_xlnm.Print_Area" localSheetId="0">Folha1!$A$1:$D$43</definedName>
  </definedNames>
  <calcPr calcId="124519"/>
  <fileRecoveryPr autoRecover="0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3" i="1"/>
  <c r="D10" l="1"/>
  <c r="D28"/>
  <c r="D29"/>
  <c r="D30"/>
  <c r="D31"/>
  <c r="D32"/>
  <c r="D33"/>
  <c r="D34"/>
  <c r="D35"/>
  <c r="D36"/>
  <c r="D37"/>
  <c r="D38"/>
  <c r="D39"/>
  <c r="D40"/>
  <c r="D41"/>
  <c r="D42"/>
  <c r="D25"/>
  <c r="D18"/>
  <c r="D14"/>
  <c r="D8"/>
  <c r="D9"/>
  <c r="D11"/>
  <c r="D12"/>
  <c r="D15"/>
  <c r="D16"/>
  <c r="D17"/>
  <c r="D19"/>
  <c r="D20"/>
  <c r="D21"/>
  <c r="D22"/>
  <c r="D23"/>
  <c r="D24"/>
  <c r="D13"/>
  <c r="D27"/>
  <c r="D26"/>
  <c r="D43" l="1"/>
</calcChain>
</file>

<file path=xl/sharedStrings.xml><?xml version="1.0" encoding="utf-8"?>
<sst xmlns="http://schemas.openxmlformats.org/spreadsheetml/2006/main" count="42" uniqueCount="41">
  <si>
    <t>DESCRITION</t>
  </si>
  <si>
    <t>KG/BALE</t>
  </si>
  <si>
    <t>N.º BALES</t>
  </si>
  <si>
    <t>TOTAL KGs</t>
  </si>
  <si>
    <t>Pantalons Coton Homme</t>
  </si>
  <si>
    <t>Pantalons Enfants</t>
  </si>
  <si>
    <t>Rummages Bébé MIX</t>
  </si>
  <si>
    <t>Chemises Coton Homme</t>
  </si>
  <si>
    <t>Sous-vêtements d’hommes et femmes</t>
  </si>
  <si>
    <t>Short/Culote Courte Homme</t>
  </si>
  <si>
    <t>Robes Coton Femme</t>
  </si>
  <si>
    <t>Tapis</t>
  </si>
  <si>
    <t>Leggings</t>
  </si>
  <si>
    <t>Hawaii</t>
  </si>
  <si>
    <t>T-Shirt Sport</t>
  </si>
  <si>
    <t>Foulards et Châles de Femme</t>
  </si>
  <si>
    <t>Swite à Capuche Homme</t>
  </si>
  <si>
    <t>Vêtements de Sport</t>
  </si>
  <si>
    <t>Pantalons Coton Femme</t>
  </si>
  <si>
    <t>Casquette</t>
  </si>
  <si>
    <t>Vêtements de Sport Enfants</t>
  </si>
  <si>
    <t>Sport Original Court</t>
  </si>
  <si>
    <t xml:space="preserve">T-Shirt Homme </t>
  </si>
  <si>
    <t xml:space="preserve">T-Shirt Femme </t>
  </si>
  <si>
    <t>Textile</t>
  </si>
  <si>
    <t>Culote Court Femme</t>
  </si>
  <si>
    <t>Vestes Homme</t>
  </si>
  <si>
    <t>Vestes Femme</t>
  </si>
  <si>
    <t>Linge de Ménage et de Toilette</t>
  </si>
  <si>
    <t xml:space="preserve">Rummage Nylon </t>
  </si>
  <si>
    <t>Jupes Coton Femme</t>
  </si>
  <si>
    <t>Working Suits</t>
  </si>
  <si>
    <t>Girl Fashion Body</t>
  </si>
  <si>
    <t>Tank Top</t>
  </si>
  <si>
    <t>Pantalon Mix Enfant</t>
  </si>
  <si>
    <t>T-Shirt Enfant</t>
  </si>
  <si>
    <t>Polo Enfant</t>
  </si>
  <si>
    <t>Rideau de Crochet</t>
  </si>
  <si>
    <t>CATALOGUE AMIRATEX</t>
  </si>
  <si>
    <t>CONTENEUR 20 PIEDS 249 BALLES</t>
  </si>
  <si>
    <t>CREME + GRADE A ÉTÉ</t>
  </si>
</sst>
</file>

<file path=xl/styles.xml><?xml version="1.0" encoding="utf-8"?>
<styleSheet xmlns="http://schemas.openxmlformats.org/spreadsheetml/2006/main">
  <numFmts count="3">
    <numFmt numFmtId="44" formatCode="_-* #,##0.00\ &quot;€&quot;_-;\-* #,##0.00\ &quot;€&quot;_-;_-* &quot;-&quot;??\ &quot;€&quot;_-;_-@_-"/>
    <numFmt numFmtId="164" formatCode="0.0"/>
    <numFmt numFmtId="165" formatCode="#,##0.0"/>
  </numFmts>
  <fonts count="1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u/>
      <sz val="14"/>
      <name val="Times New Roman"/>
      <family val="1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164" fontId="6" fillId="0" borderId="1" xfId="0" applyNumberFormat="1" applyFont="1" applyBorder="1" applyAlignment="1">
      <alignment horizontal="right" vertical="center"/>
    </xf>
    <xf numFmtId="0" fontId="6" fillId="0" borderId="0" xfId="0" applyFont="1"/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9" fillId="2" borderId="1" xfId="0" applyNumberFormat="1" applyFont="1" applyFill="1" applyBorder="1" applyAlignment="1">
      <alignment horizontal="right" vertical="center"/>
    </xf>
    <xf numFmtId="1" fontId="9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1" fillId="0" borderId="0" xfId="0" applyFont="1" applyAlignment="1">
      <alignment horizontal="center"/>
    </xf>
    <xf numFmtId="0" fontId="15" fillId="0" borderId="0" xfId="0" applyFont="1"/>
    <xf numFmtId="164" fontId="6" fillId="3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Moeda 2" xfId="1"/>
    <cellStyle name="Normal" xfId="0" builtinId="0"/>
  </cellStyles>
  <dxfs count="0"/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3"/>
  <sheetViews>
    <sheetView tabSelected="1" workbookViewId="0">
      <selection activeCell="E1" sqref="E1:F1048576"/>
    </sheetView>
  </sheetViews>
  <sheetFormatPr baseColWidth="10" defaultColWidth="8.88671875" defaultRowHeight="14.4"/>
  <cols>
    <col min="1" max="1" width="30.88671875" style="1" customWidth="1"/>
    <col min="2" max="2" width="17.33203125" style="1" customWidth="1"/>
    <col min="3" max="3" width="9.6640625" style="23" customWidth="1"/>
    <col min="4" max="4" width="10.6640625" style="3" customWidth="1"/>
    <col min="6" max="6" width="21.33203125" customWidth="1"/>
  </cols>
  <sheetData>
    <row r="1" spans="1:6" ht="18.899999999999999" customHeight="1">
      <c r="A1" s="24" t="s">
        <v>38</v>
      </c>
    </row>
    <row r="2" spans="1:6" ht="18.899999999999999" customHeight="1">
      <c r="B2" s="24" t="s">
        <v>40</v>
      </c>
      <c r="C2" s="4"/>
      <c r="D2" s="5"/>
    </row>
    <row r="3" spans="1:6" ht="15" customHeight="1">
      <c r="A3" s="26"/>
      <c r="B3" s="25"/>
      <c r="C3" s="25"/>
      <c r="D3" s="25"/>
      <c r="E3" s="25"/>
      <c r="F3" s="25"/>
    </row>
    <row r="4" spans="1:6" ht="15" customHeight="1">
      <c r="A4" s="29" t="s">
        <v>39</v>
      </c>
      <c r="B4" s="29"/>
      <c r="C4" s="29"/>
      <c r="D4" s="29"/>
    </row>
    <row r="5" spans="1:6" ht="15" customHeight="1">
      <c r="A5" s="6"/>
      <c r="B5" s="6"/>
      <c r="C5" s="13"/>
      <c r="D5" s="6"/>
    </row>
    <row r="6" spans="1:6" ht="15" customHeight="1"/>
    <row r="7" spans="1:6" ht="22.5" customHeight="1">
      <c r="A7" s="9" t="s">
        <v>0</v>
      </c>
      <c r="B7" s="10" t="s">
        <v>1</v>
      </c>
      <c r="C7" s="11" t="s">
        <v>2</v>
      </c>
      <c r="D7" s="11" t="s">
        <v>3</v>
      </c>
    </row>
    <row r="8" spans="1:6" ht="15" customHeight="1">
      <c r="A8" s="16" t="s">
        <v>4</v>
      </c>
      <c r="B8" s="20">
        <v>65</v>
      </c>
      <c r="C8" s="21">
        <v>7</v>
      </c>
      <c r="D8" s="2">
        <f>C8*B8</f>
        <v>455</v>
      </c>
    </row>
    <row r="9" spans="1:6" ht="15" customHeight="1">
      <c r="A9" s="16" t="s">
        <v>18</v>
      </c>
      <c r="B9" s="20">
        <v>85</v>
      </c>
      <c r="C9" s="21">
        <v>25</v>
      </c>
      <c r="D9" s="2">
        <f>C9*B9</f>
        <v>2125</v>
      </c>
    </row>
    <row r="10" spans="1:6" ht="15" customHeight="1">
      <c r="A10" s="16" t="s">
        <v>34</v>
      </c>
      <c r="B10" s="20">
        <v>85</v>
      </c>
      <c r="C10" s="21">
        <v>10</v>
      </c>
      <c r="D10" s="2">
        <f>C10*B10</f>
        <v>850</v>
      </c>
    </row>
    <row r="11" spans="1:6" ht="15" customHeight="1">
      <c r="A11" s="16" t="s">
        <v>12</v>
      </c>
      <c r="B11" s="20">
        <v>45</v>
      </c>
      <c r="C11" s="21">
        <v>3</v>
      </c>
      <c r="D11" s="2">
        <f t="shared" ref="D11:D16" si="0">C11*B11</f>
        <v>135</v>
      </c>
    </row>
    <row r="12" spans="1:6" ht="15" customHeight="1">
      <c r="A12" s="16" t="s">
        <v>5</v>
      </c>
      <c r="B12" s="20">
        <v>45</v>
      </c>
      <c r="C12" s="21">
        <v>1</v>
      </c>
      <c r="D12" s="15">
        <f t="shared" si="0"/>
        <v>45</v>
      </c>
    </row>
    <row r="13" spans="1:6" ht="15" customHeight="1">
      <c r="A13" s="16" t="s">
        <v>13</v>
      </c>
      <c r="B13" s="22">
        <v>45</v>
      </c>
      <c r="C13" s="21">
        <v>1</v>
      </c>
      <c r="D13" s="2">
        <f>C13*B13</f>
        <v>45</v>
      </c>
    </row>
    <row r="14" spans="1:6" ht="15" customHeight="1">
      <c r="A14" s="16" t="s">
        <v>31</v>
      </c>
      <c r="B14" s="22">
        <v>45</v>
      </c>
      <c r="C14" s="21">
        <v>3</v>
      </c>
      <c r="D14" s="2">
        <f>C14*B14</f>
        <v>135</v>
      </c>
    </row>
    <row r="15" spans="1:6" ht="15" customHeight="1">
      <c r="A15" s="16" t="s">
        <v>6</v>
      </c>
      <c r="B15" s="22">
        <v>45</v>
      </c>
      <c r="C15" s="21">
        <v>15</v>
      </c>
      <c r="D15" s="15">
        <f t="shared" si="0"/>
        <v>675</v>
      </c>
    </row>
    <row r="16" spans="1:6" ht="15" customHeight="1">
      <c r="A16" s="16" t="s">
        <v>19</v>
      </c>
      <c r="B16" s="22">
        <v>45</v>
      </c>
      <c r="C16" s="21">
        <v>3</v>
      </c>
      <c r="D16" s="15">
        <f t="shared" si="0"/>
        <v>135</v>
      </c>
    </row>
    <row r="17" spans="1:6" ht="15" customHeight="1">
      <c r="A17" s="16" t="s">
        <v>8</v>
      </c>
      <c r="B17" s="22">
        <v>45</v>
      </c>
      <c r="C17" s="21">
        <v>3</v>
      </c>
      <c r="D17" s="15">
        <f t="shared" ref="D17:D20" si="1">C17*B17</f>
        <v>135</v>
      </c>
    </row>
    <row r="18" spans="1:6" ht="15" customHeight="1">
      <c r="A18" s="17" t="s">
        <v>29</v>
      </c>
      <c r="B18" s="22">
        <v>45</v>
      </c>
      <c r="C18" s="21">
        <v>3</v>
      </c>
      <c r="D18" s="15">
        <f t="shared" si="1"/>
        <v>135</v>
      </c>
    </row>
    <row r="19" spans="1:6" ht="15" customHeight="1">
      <c r="A19" s="17" t="s">
        <v>15</v>
      </c>
      <c r="B19" s="22">
        <v>45</v>
      </c>
      <c r="C19" s="21">
        <v>3</v>
      </c>
      <c r="D19" s="15">
        <f t="shared" si="1"/>
        <v>135</v>
      </c>
    </row>
    <row r="20" spans="1:6" ht="15" customHeight="1">
      <c r="A20" s="18" t="s">
        <v>7</v>
      </c>
      <c r="B20" s="22">
        <v>45</v>
      </c>
      <c r="C20" s="21">
        <v>2</v>
      </c>
      <c r="D20" s="15">
        <f t="shared" si="1"/>
        <v>90</v>
      </c>
    </row>
    <row r="21" spans="1:6" s="12" customFormat="1" ht="15" customHeight="1">
      <c r="A21" s="16" t="s">
        <v>16</v>
      </c>
      <c r="B21" s="22">
        <v>45</v>
      </c>
      <c r="C21" s="21">
        <v>5</v>
      </c>
      <c r="D21" s="15">
        <f>C21*B21</f>
        <v>225</v>
      </c>
      <c r="F21"/>
    </row>
    <row r="22" spans="1:6" ht="15" customHeight="1">
      <c r="A22" s="18" t="s">
        <v>17</v>
      </c>
      <c r="B22" s="22">
        <v>45</v>
      </c>
      <c r="C22" s="21">
        <v>7</v>
      </c>
      <c r="D22" s="15">
        <f t="shared" ref="D22:D42" si="2">C22*B22</f>
        <v>315</v>
      </c>
    </row>
    <row r="23" spans="1:6" ht="15" customHeight="1">
      <c r="A23" s="18" t="s">
        <v>20</v>
      </c>
      <c r="B23" s="22">
        <v>45</v>
      </c>
      <c r="C23" s="21">
        <v>3</v>
      </c>
      <c r="D23" s="15">
        <f t="shared" si="2"/>
        <v>135</v>
      </c>
    </row>
    <row r="24" spans="1:6" ht="15" customHeight="1">
      <c r="A24" s="16" t="s">
        <v>9</v>
      </c>
      <c r="B24" s="22">
        <v>45</v>
      </c>
      <c r="C24" s="21">
        <v>3</v>
      </c>
      <c r="D24" s="15">
        <f t="shared" si="2"/>
        <v>135</v>
      </c>
    </row>
    <row r="25" spans="1:6" s="14" customFormat="1" ht="15" customHeight="1">
      <c r="A25" s="16" t="s">
        <v>25</v>
      </c>
      <c r="B25" s="22">
        <v>45</v>
      </c>
      <c r="C25" s="21">
        <v>5</v>
      </c>
      <c r="D25" s="15">
        <f t="shared" si="2"/>
        <v>225</v>
      </c>
      <c r="F25"/>
    </row>
    <row r="26" spans="1:6" s="14" customFormat="1" ht="15" customHeight="1">
      <c r="A26" s="19" t="s">
        <v>21</v>
      </c>
      <c r="B26" s="22">
        <v>45</v>
      </c>
      <c r="C26" s="21">
        <v>1</v>
      </c>
      <c r="D26" s="2">
        <f>C26*B26</f>
        <v>45</v>
      </c>
      <c r="F26"/>
    </row>
    <row r="27" spans="1:6" s="14" customFormat="1" ht="15" customHeight="1">
      <c r="A27" s="16" t="s">
        <v>10</v>
      </c>
      <c r="B27" s="22">
        <v>45</v>
      </c>
      <c r="C27" s="21">
        <v>20</v>
      </c>
      <c r="D27" s="2">
        <f t="shared" si="2"/>
        <v>900</v>
      </c>
      <c r="F27"/>
    </row>
    <row r="28" spans="1:6" s="14" customFormat="1" ht="15" customHeight="1">
      <c r="A28" s="16" t="s">
        <v>30</v>
      </c>
      <c r="B28" s="22">
        <v>45</v>
      </c>
      <c r="C28" s="21">
        <v>20</v>
      </c>
      <c r="D28" s="2">
        <f t="shared" si="2"/>
        <v>900</v>
      </c>
      <c r="F28"/>
    </row>
    <row r="29" spans="1:6" s="14" customFormat="1" ht="15" customHeight="1">
      <c r="A29" s="16" t="s">
        <v>10</v>
      </c>
      <c r="B29" s="22">
        <v>45</v>
      </c>
      <c r="C29" s="21">
        <v>12</v>
      </c>
      <c r="D29" s="2">
        <f t="shared" si="2"/>
        <v>540</v>
      </c>
      <c r="F29"/>
    </row>
    <row r="30" spans="1:6" s="14" customFormat="1" ht="15" customHeight="1">
      <c r="A30" s="16" t="s">
        <v>28</v>
      </c>
      <c r="B30" s="22">
        <v>45</v>
      </c>
      <c r="C30" s="21">
        <v>25</v>
      </c>
      <c r="D30" s="2">
        <f t="shared" si="2"/>
        <v>1125</v>
      </c>
      <c r="F30"/>
    </row>
    <row r="31" spans="1:6" s="14" customFormat="1" ht="15" customHeight="1">
      <c r="A31" s="16" t="s">
        <v>37</v>
      </c>
      <c r="B31" s="22">
        <v>45</v>
      </c>
      <c r="C31" s="21">
        <v>10</v>
      </c>
      <c r="D31" s="2">
        <f t="shared" si="2"/>
        <v>450</v>
      </c>
      <c r="F31"/>
    </row>
    <row r="32" spans="1:6" s="14" customFormat="1" ht="15" customHeight="1">
      <c r="A32" s="16" t="s">
        <v>24</v>
      </c>
      <c r="B32" s="22">
        <v>45</v>
      </c>
      <c r="C32" s="21">
        <v>2</v>
      </c>
      <c r="D32" s="2">
        <f t="shared" si="2"/>
        <v>90</v>
      </c>
      <c r="F32"/>
    </row>
    <row r="33" spans="1:6" s="14" customFormat="1" ht="14.25" customHeight="1">
      <c r="A33" s="16" t="s">
        <v>11</v>
      </c>
      <c r="B33" s="22">
        <v>45</v>
      </c>
      <c r="C33" s="21">
        <v>3</v>
      </c>
      <c r="D33" s="2">
        <f t="shared" si="2"/>
        <v>135</v>
      </c>
      <c r="F33"/>
    </row>
    <row r="34" spans="1:6" s="14" customFormat="1" ht="14.25" customHeight="1">
      <c r="A34" s="16" t="s">
        <v>22</v>
      </c>
      <c r="B34" s="22">
        <v>45</v>
      </c>
      <c r="C34" s="21">
        <v>7</v>
      </c>
      <c r="D34" s="2">
        <f t="shared" si="2"/>
        <v>315</v>
      </c>
      <c r="F34"/>
    </row>
    <row r="35" spans="1:6" s="14" customFormat="1" ht="15" customHeight="1">
      <c r="A35" s="16" t="s">
        <v>23</v>
      </c>
      <c r="B35" s="22">
        <v>45</v>
      </c>
      <c r="C35" s="21">
        <v>7</v>
      </c>
      <c r="D35" s="2">
        <f t="shared" si="2"/>
        <v>315</v>
      </c>
      <c r="F35"/>
    </row>
    <row r="36" spans="1:6" s="14" customFormat="1" ht="15" customHeight="1">
      <c r="A36" s="16" t="s">
        <v>32</v>
      </c>
      <c r="B36" s="22">
        <v>45</v>
      </c>
      <c r="C36" s="21">
        <v>15</v>
      </c>
      <c r="D36" s="2">
        <f t="shared" si="2"/>
        <v>675</v>
      </c>
      <c r="F36"/>
    </row>
    <row r="37" spans="1:6" s="14" customFormat="1" ht="15" customHeight="1">
      <c r="A37" s="16" t="s">
        <v>33</v>
      </c>
      <c r="B37" s="22">
        <v>45</v>
      </c>
      <c r="C37" s="21">
        <v>3</v>
      </c>
      <c r="D37" s="2">
        <f t="shared" si="2"/>
        <v>135</v>
      </c>
      <c r="F37"/>
    </row>
    <row r="38" spans="1:6" s="14" customFormat="1" ht="15" customHeight="1">
      <c r="A38" s="16" t="s">
        <v>35</v>
      </c>
      <c r="B38" s="22">
        <v>45</v>
      </c>
      <c r="C38" s="21">
        <v>1</v>
      </c>
      <c r="D38" s="2">
        <f t="shared" si="2"/>
        <v>45</v>
      </c>
      <c r="F38"/>
    </row>
    <row r="39" spans="1:6" s="14" customFormat="1" ht="15" customHeight="1">
      <c r="A39" s="16" t="s">
        <v>36</v>
      </c>
      <c r="B39" s="22">
        <v>45</v>
      </c>
      <c r="C39" s="21">
        <v>7</v>
      </c>
      <c r="D39" s="2">
        <f t="shared" si="2"/>
        <v>315</v>
      </c>
      <c r="F39"/>
    </row>
    <row r="40" spans="1:6" s="14" customFormat="1" ht="15" customHeight="1">
      <c r="A40" s="16" t="s">
        <v>14</v>
      </c>
      <c r="B40" s="22">
        <v>45</v>
      </c>
      <c r="C40" s="21">
        <v>4</v>
      </c>
      <c r="D40" s="2">
        <f t="shared" si="2"/>
        <v>180</v>
      </c>
      <c r="F40"/>
    </row>
    <row r="41" spans="1:6" s="14" customFormat="1" ht="15" customHeight="1">
      <c r="A41" s="19" t="s">
        <v>26</v>
      </c>
      <c r="B41" s="22">
        <v>45</v>
      </c>
      <c r="C41" s="21">
        <v>5</v>
      </c>
      <c r="D41" s="2">
        <f t="shared" si="2"/>
        <v>225</v>
      </c>
      <c r="F41"/>
    </row>
    <row r="42" spans="1:6" s="14" customFormat="1" ht="15" customHeight="1">
      <c r="A42" s="19" t="s">
        <v>27</v>
      </c>
      <c r="B42" s="22">
        <v>45</v>
      </c>
      <c r="C42" s="21">
        <v>5</v>
      </c>
      <c r="D42" s="2">
        <f t="shared" si="2"/>
        <v>225</v>
      </c>
      <c r="F42"/>
    </row>
    <row r="43" spans="1:6" ht="30" customHeight="1">
      <c r="A43" s="27"/>
      <c r="B43" s="28"/>
      <c r="C43" s="8">
        <f>SUM(C8:C42)</f>
        <v>249</v>
      </c>
      <c r="D43" s="7">
        <f>SUM(D8:D42)</f>
        <v>12745</v>
      </c>
    </row>
  </sheetData>
  <mergeCells count="2">
    <mergeCell ref="A43:B43"/>
    <mergeCell ref="A4:D4"/>
  </mergeCells>
  <printOptions horizontalCentered="1"/>
  <pageMargins left="0.39370078740157483" right="0.39370078740157483" top="0.59055118110236227" bottom="0.59055118110236227" header="0" footer="0"/>
  <pageSetup paperSize="9" scale="85" orientation="portrait" r:id="rId1"/>
  <headerFooter>
    <oddHeader>&amp;L      &amp;G&amp;R&amp;"Times New Roman,Normal"&amp;K990000Import – Export     Second  Hand Clothes    Complexo Fabril de Vodra6270-554 Seia&amp;K0070C0www.texamira.cominfo@texamira.com</oddHeader>
    <oddFooter>&amp;CNIPC. 506 372 529 Matriculada &amp;"Book Antiqua,Normal"&amp;8na Conservatória do Registo Comercial de Seia, sob o N.º de Pessoa Colectiva – Capital Social: 200.000€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Folha1</vt:lpstr>
      <vt:lpstr>Folha1!Zone_d_impression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sabir</cp:lastModifiedBy>
  <cp:lastPrinted>2025-03-25T11:54:16Z</cp:lastPrinted>
  <dcterms:created xsi:type="dcterms:W3CDTF">2016-04-28T15:47:45Z</dcterms:created>
  <dcterms:modified xsi:type="dcterms:W3CDTF">2025-06-11T07:57:22Z</dcterms:modified>
</cp:coreProperties>
</file>
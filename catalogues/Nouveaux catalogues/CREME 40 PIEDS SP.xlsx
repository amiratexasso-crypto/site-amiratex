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20" yWindow="-120" windowWidth="23256" windowHeight="13176"/>
  </bookViews>
  <sheets>
    <sheet name="Folha1" sheetId="1" r:id="rId1"/>
  </sheets>
  <definedNames>
    <definedName name="_xlnm._FilterDatabase" localSheetId="0" hidden="1">Folha1!#REF!</definedName>
    <definedName name="_xlnm.Print_Area" localSheetId="0">Folha1!$A$1:$D$45</definedName>
  </definedNames>
  <calcPr calcId="124519"/>
  <fileRecoveryPr autoRecover="0"/>
</workbook>
</file>

<file path=xl/calcChain.xml><?xml version="1.0" encoding="utf-8"?>
<calcChain xmlns="http://schemas.openxmlformats.org/spreadsheetml/2006/main">
  <c r="C44" i="1"/>
  <c r="C45" s="1"/>
  <c r="C40"/>
  <c r="D7" l="1"/>
  <c r="D25"/>
  <c r="D26"/>
  <c r="D27"/>
  <c r="D28"/>
  <c r="D29"/>
  <c r="D30"/>
  <c r="D31"/>
  <c r="D32"/>
  <c r="D33"/>
  <c r="D34"/>
  <c r="D35"/>
  <c r="D36"/>
  <c r="D37"/>
  <c r="D38"/>
  <c r="D39"/>
  <c r="D41"/>
  <c r="D42"/>
  <c r="D43"/>
  <c r="D22"/>
  <c r="D15"/>
  <c r="D11"/>
  <c r="D5"/>
  <c r="D6"/>
  <c r="D8"/>
  <c r="D9"/>
  <c r="D12"/>
  <c r="D13"/>
  <c r="D14"/>
  <c r="D16"/>
  <c r="D17"/>
  <c r="D18"/>
  <c r="D19"/>
  <c r="D20"/>
  <c r="D21"/>
  <c r="D10"/>
  <c r="D24"/>
  <c r="D23"/>
  <c r="D44" l="1"/>
  <c r="D40"/>
  <c r="D45" l="1"/>
</calcChain>
</file>

<file path=xl/sharedStrings.xml><?xml version="1.0" encoding="utf-8"?>
<sst xmlns="http://schemas.openxmlformats.org/spreadsheetml/2006/main" count="46" uniqueCount="45">
  <si>
    <t>Pantalons Coton Homme</t>
  </si>
  <si>
    <t>Pantalons Enfants</t>
  </si>
  <si>
    <t>Rummages Bébé MIX</t>
  </si>
  <si>
    <t>Chemises Coton Homme</t>
  </si>
  <si>
    <t>Sous-vêtements d’hommes et femmes</t>
  </si>
  <si>
    <t>Short/Culote Courte Homme</t>
  </si>
  <si>
    <t>Robes Coton Femme</t>
  </si>
  <si>
    <t>Tapis</t>
  </si>
  <si>
    <t>Leggings</t>
  </si>
  <si>
    <t>Hawaii</t>
  </si>
  <si>
    <t>T-Shirt Sport</t>
  </si>
  <si>
    <t>Foulards et Châles de Femme</t>
  </si>
  <si>
    <t>Swite à Capuche Homme</t>
  </si>
  <si>
    <t>Vêtements de Sport</t>
  </si>
  <si>
    <t>Chaussures</t>
  </si>
  <si>
    <t>Pantalons Coton Femme</t>
  </si>
  <si>
    <t>Casquette</t>
  </si>
  <si>
    <t>Vêtements de Sport Enfants</t>
  </si>
  <si>
    <t>Sport Original Court</t>
  </si>
  <si>
    <t>Jouets Soft</t>
  </si>
  <si>
    <t>Jouets Dur</t>
  </si>
  <si>
    <t xml:space="preserve">T-Shirt Homme </t>
  </si>
  <si>
    <t xml:space="preserve">T-Shirt Femme </t>
  </si>
  <si>
    <t>Pantalon Mix Enfant</t>
  </si>
  <si>
    <t>Working Suits</t>
  </si>
  <si>
    <t xml:space="preserve">Rummage Nylon </t>
  </si>
  <si>
    <t>Culote Court Femme</t>
  </si>
  <si>
    <t>Jupes Coton Femme</t>
  </si>
  <si>
    <t>Linge de Ménage et de Toilette</t>
  </si>
  <si>
    <t>Rideau de Crochet</t>
  </si>
  <si>
    <t>Textile</t>
  </si>
  <si>
    <t>Girl Fashion Body</t>
  </si>
  <si>
    <t>Tank Top</t>
  </si>
  <si>
    <t>T-Shirt Enfant</t>
  </si>
  <si>
    <t>Polo Enfant</t>
  </si>
  <si>
    <t>Vestes Homme</t>
  </si>
  <si>
    <t>Vestes Femme</t>
  </si>
  <si>
    <t>CATALOGUE AMIRATEX</t>
  </si>
  <si>
    <t>CREME + GRADE A ÉTÉ</t>
  </si>
  <si>
    <t>CONTENEUR 40 PIEDS 599 BALLES</t>
  </si>
  <si>
    <t>DESCRITION</t>
  </si>
  <si>
    <t>KG/BALE</t>
  </si>
  <si>
    <t>N.º BALES</t>
  </si>
  <si>
    <t>TOTAL KGs</t>
  </si>
  <si>
    <t>TOTAUX</t>
  </si>
</sst>
</file>

<file path=xl/styles.xml><?xml version="1.0" encoding="utf-8"?>
<styleSheet xmlns="http://schemas.openxmlformats.org/spreadsheetml/2006/main">
  <numFmts count="4">
    <numFmt numFmtId="44" formatCode="_-* #,##0.00\ &quot;€&quot;_-;\-* #,##0.00\ &quot;€&quot;_-;_-* &quot;-&quot;??\ &quot;€&quot;_-;_-@_-"/>
    <numFmt numFmtId="164" formatCode="0.0"/>
    <numFmt numFmtId="165" formatCode="#,##0.0"/>
    <numFmt numFmtId="166" formatCode="_-* #,##0.00\ [$€-816]_-;\-* #,##0.00\ [$€-816]_-;_-* &quot;-&quot;??\ [$€-816]_-;_-@_-"/>
  </numFmts>
  <fonts count="16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4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0"/>
      <name val="Times New Roman"/>
      <family val="1"/>
    </font>
    <font>
      <sz val="11"/>
      <color rgb="FFFF0000"/>
      <name val="Calibri"/>
      <family val="2"/>
      <scheme val="minor"/>
    </font>
    <font>
      <b/>
      <sz val="10"/>
      <name val="Times New Roman"/>
      <family val="1"/>
    </font>
    <font>
      <sz val="11"/>
      <name val="Calibri"/>
      <family val="2"/>
      <scheme val="minor"/>
    </font>
    <font>
      <b/>
      <u/>
      <sz val="14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34">
    <xf numFmtId="0" fontId="0" fillId="0" borderId="0" xfId="0"/>
    <xf numFmtId="0" fontId="1" fillId="0" borderId="0" xfId="0" applyFont="1"/>
    <xf numFmtId="164" fontId="6" fillId="0" borderId="1" xfId="0" applyNumberFormat="1" applyFont="1" applyBorder="1" applyAlignment="1">
      <alignment horizontal="right" vertical="center"/>
    </xf>
    <xf numFmtId="0" fontId="6" fillId="0" borderId="0" xfId="0" applyFont="1"/>
    <xf numFmtId="165" fontId="8" fillId="2" borderId="1" xfId="0" applyNumberFormat="1" applyFont="1" applyFill="1" applyBorder="1" applyAlignment="1">
      <alignment horizontal="right" vertical="center"/>
    </xf>
    <xf numFmtId="1" fontId="8" fillId="2" borderId="1" xfId="0" applyNumberFormat="1" applyFont="1" applyFill="1" applyBorder="1" applyAlignment="1">
      <alignment horizontal="center" vertical="center"/>
    </xf>
    <xf numFmtId="0" fontId="10" fillId="0" borderId="0" xfId="0" applyFont="1"/>
    <xf numFmtId="0" fontId="12" fillId="0" borderId="0" xfId="0" applyFont="1"/>
    <xf numFmtId="164" fontId="6" fillId="3" borderId="1" xfId="0" applyNumberFormat="1" applyFont="1" applyFill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" fontId="6" fillId="3" borderId="1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1" fontId="6" fillId="4" borderId="1" xfId="0" applyNumberFormat="1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right" vertical="center"/>
    </xf>
    <xf numFmtId="166" fontId="0" fillId="0" borderId="0" xfId="0" applyNumberFormat="1"/>
    <xf numFmtId="0" fontId="0" fillId="0" borderId="0" xfId="0"/>
    <xf numFmtId="0" fontId="1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14" fillId="2" borderId="2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11" fillId="4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</cellXfs>
  <cellStyles count="2">
    <cellStyle name="Moeda 2" xfId="1"/>
    <cellStyle name="Normal" xfId="0" builtinId="0"/>
  </cellStyles>
  <dxfs count="0"/>
  <tableStyles count="0" defaultTableStyle="TableStyleMedium2" defaultPivotStyle="PivotStyleLight16"/>
  <colors>
    <mruColors>
      <color rgb="FF990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45"/>
  <sheetViews>
    <sheetView tabSelected="1" workbookViewId="0">
      <selection activeCell="G5" sqref="G5"/>
    </sheetView>
  </sheetViews>
  <sheetFormatPr baseColWidth="10" defaultRowHeight="14.4"/>
  <cols>
    <col min="1" max="1" width="32.77734375" style="1" customWidth="1"/>
    <col min="2" max="2" width="8.6640625" style="1" customWidth="1"/>
    <col min="3" max="3" width="9.6640625" style="18" customWidth="1"/>
    <col min="4" max="4" width="16.44140625" style="3" customWidth="1"/>
    <col min="5" max="8" width="8.88671875"/>
    <col min="9" max="9" width="11.6640625" bestFit="1" customWidth="1"/>
  </cols>
  <sheetData>
    <row r="1" spans="1:5" ht="18.899999999999999" customHeight="1">
      <c r="A1" s="24" t="s">
        <v>37</v>
      </c>
      <c r="B1" s="22"/>
      <c r="C1" s="22"/>
      <c r="D1" s="22"/>
    </row>
    <row r="2" spans="1:5" ht="15" customHeight="1">
      <c r="B2" s="22"/>
      <c r="C2" s="24" t="s">
        <v>38</v>
      </c>
      <c r="D2" s="23"/>
    </row>
    <row r="3" spans="1:5" ht="15" customHeight="1">
      <c r="A3" s="25"/>
      <c r="B3" s="33" t="s">
        <v>39</v>
      </c>
      <c r="C3" s="33"/>
      <c r="D3" s="33"/>
      <c r="E3" s="33"/>
    </row>
    <row r="4" spans="1:5" ht="22.5" customHeight="1">
      <c r="A4" s="28" t="s">
        <v>40</v>
      </c>
      <c r="B4" s="26" t="s">
        <v>41</v>
      </c>
      <c r="C4" s="27" t="s">
        <v>42</v>
      </c>
      <c r="D4" s="27" t="s">
        <v>43</v>
      </c>
    </row>
    <row r="5" spans="1:5" ht="15" customHeight="1">
      <c r="A5" s="9" t="s">
        <v>0</v>
      </c>
      <c r="B5" s="15">
        <v>65</v>
      </c>
      <c r="C5" s="16">
        <v>15</v>
      </c>
      <c r="D5" s="2">
        <f>C5*B5</f>
        <v>975</v>
      </c>
    </row>
    <row r="6" spans="1:5" ht="15" customHeight="1">
      <c r="A6" s="9" t="s">
        <v>15</v>
      </c>
      <c r="B6" s="15">
        <v>85</v>
      </c>
      <c r="C6" s="16">
        <v>50</v>
      </c>
      <c r="D6" s="2">
        <f>C6*B6</f>
        <v>4250</v>
      </c>
    </row>
    <row r="7" spans="1:5" ht="15" customHeight="1">
      <c r="A7" s="9" t="s">
        <v>23</v>
      </c>
      <c r="B7" s="15">
        <v>85</v>
      </c>
      <c r="C7" s="16">
        <v>20</v>
      </c>
      <c r="D7" s="2">
        <f>C7*B7</f>
        <v>1700</v>
      </c>
    </row>
    <row r="8" spans="1:5" ht="15" customHeight="1">
      <c r="A8" s="9" t="s">
        <v>8</v>
      </c>
      <c r="B8" s="15">
        <v>45</v>
      </c>
      <c r="C8" s="16">
        <v>6</v>
      </c>
      <c r="D8" s="2">
        <f t="shared" ref="D8:D13" si="0">C8*B8</f>
        <v>270</v>
      </c>
    </row>
    <row r="9" spans="1:5" ht="15" customHeight="1">
      <c r="A9" s="9" t="s">
        <v>1</v>
      </c>
      <c r="B9" s="15">
        <v>45</v>
      </c>
      <c r="C9" s="16">
        <v>1</v>
      </c>
      <c r="D9" s="8">
        <f t="shared" si="0"/>
        <v>45</v>
      </c>
    </row>
    <row r="10" spans="1:5" ht="15" customHeight="1">
      <c r="A10" s="9" t="s">
        <v>9</v>
      </c>
      <c r="B10" s="17">
        <v>45</v>
      </c>
      <c r="C10" s="16">
        <v>2</v>
      </c>
      <c r="D10" s="2">
        <f>C10*B10</f>
        <v>90</v>
      </c>
    </row>
    <row r="11" spans="1:5" ht="15" customHeight="1">
      <c r="A11" s="9" t="s">
        <v>24</v>
      </c>
      <c r="B11" s="17">
        <v>45</v>
      </c>
      <c r="C11" s="16">
        <v>7</v>
      </c>
      <c r="D11" s="2">
        <f>C11*B11</f>
        <v>315</v>
      </c>
    </row>
    <row r="12" spans="1:5" ht="15" customHeight="1">
      <c r="A12" s="9" t="s">
        <v>2</v>
      </c>
      <c r="B12" s="17">
        <v>45</v>
      </c>
      <c r="C12" s="16">
        <v>30</v>
      </c>
      <c r="D12" s="8">
        <f t="shared" si="0"/>
        <v>1350</v>
      </c>
    </row>
    <row r="13" spans="1:5" ht="15" customHeight="1">
      <c r="A13" s="9" t="s">
        <v>16</v>
      </c>
      <c r="B13" s="17">
        <v>45</v>
      </c>
      <c r="C13" s="16">
        <v>6</v>
      </c>
      <c r="D13" s="8">
        <f t="shared" si="0"/>
        <v>270</v>
      </c>
    </row>
    <row r="14" spans="1:5" ht="15" customHeight="1">
      <c r="A14" s="9" t="s">
        <v>4</v>
      </c>
      <c r="B14" s="17">
        <v>45</v>
      </c>
      <c r="C14" s="16">
        <v>6</v>
      </c>
      <c r="D14" s="8">
        <f t="shared" ref="D14:D17" si="1">C14*B14</f>
        <v>270</v>
      </c>
    </row>
    <row r="15" spans="1:5" ht="15" customHeight="1">
      <c r="A15" s="11" t="s">
        <v>25</v>
      </c>
      <c r="B15" s="17">
        <v>45</v>
      </c>
      <c r="C15" s="16">
        <v>6</v>
      </c>
      <c r="D15" s="8">
        <f t="shared" si="1"/>
        <v>270</v>
      </c>
    </row>
    <row r="16" spans="1:5" ht="15" customHeight="1">
      <c r="A16" s="11" t="s">
        <v>11</v>
      </c>
      <c r="B16" s="17">
        <v>45</v>
      </c>
      <c r="C16" s="16">
        <v>6</v>
      </c>
      <c r="D16" s="8">
        <f t="shared" si="1"/>
        <v>270</v>
      </c>
    </row>
    <row r="17" spans="1:9" ht="15" customHeight="1">
      <c r="A17" s="12" t="s">
        <v>3</v>
      </c>
      <c r="B17" s="17">
        <v>45</v>
      </c>
      <c r="C17" s="16">
        <v>5</v>
      </c>
      <c r="D17" s="8">
        <f t="shared" si="1"/>
        <v>225</v>
      </c>
    </row>
    <row r="18" spans="1:9" s="6" customFormat="1" ht="15" customHeight="1">
      <c r="A18" s="9" t="s">
        <v>12</v>
      </c>
      <c r="B18" s="17">
        <v>45</v>
      </c>
      <c r="C18" s="16">
        <v>10</v>
      </c>
      <c r="D18" s="8">
        <f>C18*B18</f>
        <v>450</v>
      </c>
      <c r="F18"/>
      <c r="G18"/>
      <c r="H18"/>
      <c r="I18"/>
    </row>
    <row r="19" spans="1:9" ht="15" customHeight="1">
      <c r="A19" s="12" t="s">
        <v>13</v>
      </c>
      <c r="B19" s="17">
        <v>45</v>
      </c>
      <c r="C19" s="16">
        <v>15</v>
      </c>
      <c r="D19" s="8">
        <f t="shared" ref="D19:D43" si="2">C19*B19</f>
        <v>675</v>
      </c>
    </row>
    <row r="20" spans="1:9" ht="15" customHeight="1">
      <c r="A20" s="12" t="s">
        <v>17</v>
      </c>
      <c r="B20" s="17">
        <v>45</v>
      </c>
      <c r="C20" s="16">
        <v>5</v>
      </c>
      <c r="D20" s="8">
        <f t="shared" si="2"/>
        <v>225</v>
      </c>
    </row>
    <row r="21" spans="1:9" ht="15" customHeight="1">
      <c r="A21" s="9" t="s">
        <v>5</v>
      </c>
      <c r="B21" s="17">
        <v>45</v>
      </c>
      <c r="C21" s="16">
        <v>5</v>
      </c>
      <c r="D21" s="8">
        <f t="shared" si="2"/>
        <v>225</v>
      </c>
    </row>
    <row r="22" spans="1:9" s="7" customFormat="1" ht="15" customHeight="1">
      <c r="A22" s="9" t="s">
        <v>26</v>
      </c>
      <c r="B22" s="17">
        <v>45</v>
      </c>
      <c r="C22" s="16">
        <v>10</v>
      </c>
      <c r="D22" s="8">
        <f t="shared" si="2"/>
        <v>450</v>
      </c>
      <c r="F22"/>
      <c r="G22"/>
      <c r="H22"/>
      <c r="I22"/>
    </row>
    <row r="23" spans="1:9" s="7" customFormat="1" ht="15" customHeight="1">
      <c r="A23" s="13" t="s">
        <v>18</v>
      </c>
      <c r="B23" s="17">
        <v>45</v>
      </c>
      <c r="C23" s="16">
        <v>1</v>
      </c>
      <c r="D23" s="2">
        <f>C23*B23</f>
        <v>45</v>
      </c>
      <c r="F23"/>
      <c r="G23"/>
      <c r="H23"/>
      <c r="I23"/>
    </row>
    <row r="24" spans="1:9" s="7" customFormat="1" ht="15" customHeight="1">
      <c r="A24" s="9" t="s">
        <v>6</v>
      </c>
      <c r="B24" s="17">
        <v>45</v>
      </c>
      <c r="C24" s="16">
        <v>40</v>
      </c>
      <c r="D24" s="2">
        <f t="shared" si="2"/>
        <v>1800</v>
      </c>
      <c r="F24"/>
      <c r="G24"/>
      <c r="H24"/>
      <c r="I24"/>
    </row>
    <row r="25" spans="1:9" s="7" customFormat="1" ht="15" customHeight="1">
      <c r="A25" s="9" t="s">
        <v>27</v>
      </c>
      <c r="B25" s="17">
        <v>45</v>
      </c>
      <c r="C25" s="16">
        <v>40</v>
      </c>
      <c r="D25" s="2">
        <f t="shared" si="2"/>
        <v>1800</v>
      </c>
      <c r="F25"/>
      <c r="G25"/>
      <c r="H25"/>
      <c r="I25"/>
    </row>
    <row r="26" spans="1:9" s="7" customFormat="1" ht="15" customHeight="1">
      <c r="A26" s="9" t="s">
        <v>6</v>
      </c>
      <c r="B26" s="17">
        <v>45</v>
      </c>
      <c r="C26" s="16">
        <v>25</v>
      </c>
      <c r="D26" s="2">
        <f t="shared" si="2"/>
        <v>1125</v>
      </c>
      <c r="F26"/>
      <c r="G26"/>
      <c r="H26"/>
      <c r="I26"/>
    </row>
    <row r="27" spans="1:9" s="7" customFormat="1" ht="15" customHeight="1">
      <c r="A27" s="9" t="s">
        <v>28</v>
      </c>
      <c r="B27" s="17">
        <v>45</v>
      </c>
      <c r="C27" s="16">
        <v>50</v>
      </c>
      <c r="D27" s="2">
        <f t="shared" si="2"/>
        <v>2250</v>
      </c>
      <c r="F27"/>
      <c r="G27"/>
      <c r="H27"/>
      <c r="I27"/>
    </row>
    <row r="28" spans="1:9" s="7" customFormat="1" ht="15" customHeight="1">
      <c r="A28" s="9" t="s">
        <v>29</v>
      </c>
      <c r="B28" s="17">
        <v>45</v>
      </c>
      <c r="C28" s="16">
        <v>20</v>
      </c>
      <c r="D28" s="2">
        <f t="shared" si="2"/>
        <v>900</v>
      </c>
      <c r="F28"/>
      <c r="G28"/>
      <c r="H28"/>
      <c r="I28"/>
    </row>
    <row r="29" spans="1:9" s="7" customFormat="1" ht="15" customHeight="1">
      <c r="A29" s="9" t="s">
        <v>30</v>
      </c>
      <c r="B29" s="17">
        <v>45</v>
      </c>
      <c r="C29" s="16">
        <v>3</v>
      </c>
      <c r="D29" s="2">
        <f t="shared" si="2"/>
        <v>135</v>
      </c>
      <c r="F29"/>
      <c r="G29"/>
      <c r="H29"/>
      <c r="I29"/>
    </row>
    <row r="30" spans="1:9" s="7" customFormat="1" ht="14.25" customHeight="1">
      <c r="A30" s="9" t="s">
        <v>7</v>
      </c>
      <c r="B30" s="17">
        <v>45</v>
      </c>
      <c r="C30" s="16">
        <v>5</v>
      </c>
      <c r="D30" s="2">
        <f t="shared" si="2"/>
        <v>225</v>
      </c>
      <c r="F30"/>
      <c r="G30"/>
      <c r="H30"/>
      <c r="I30"/>
    </row>
    <row r="31" spans="1:9" s="7" customFormat="1" ht="14.25" customHeight="1">
      <c r="A31" s="9" t="s">
        <v>21</v>
      </c>
      <c r="B31" s="17">
        <v>45</v>
      </c>
      <c r="C31" s="16">
        <v>15</v>
      </c>
      <c r="D31" s="2">
        <f t="shared" si="2"/>
        <v>675</v>
      </c>
      <c r="F31"/>
      <c r="G31"/>
      <c r="H31"/>
      <c r="I31"/>
    </row>
    <row r="32" spans="1:9" s="7" customFormat="1" ht="15" customHeight="1">
      <c r="A32" s="9" t="s">
        <v>22</v>
      </c>
      <c r="B32" s="17">
        <v>45</v>
      </c>
      <c r="C32" s="16">
        <v>15</v>
      </c>
      <c r="D32" s="2">
        <f t="shared" si="2"/>
        <v>675</v>
      </c>
      <c r="F32"/>
      <c r="G32"/>
      <c r="H32"/>
      <c r="I32"/>
    </row>
    <row r="33" spans="1:9" s="7" customFormat="1" ht="15" customHeight="1">
      <c r="A33" s="9" t="s">
        <v>31</v>
      </c>
      <c r="B33" s="17">
        <v>45</v>
      </c>
      <c r="C33" s="16">
        <v>30</v>
      </c>
      <c r="D33" s="2">
        <f t="shared" si="2"/>
        <v>1350</v>
      </c>
      <c r="F33"/>
      <c r="G33"/>
      <c r="H33"/>
      <c r="I33"/>
    </row>
    <row r="34" spans="1:9" s="7" customFormat="1" ht="15" customHeight="1">
      <c r="A34" s="9" t="s">
        <v>32</v>
      </c>
      <c r="B34" s="17">
        <v>45</v>
      </c>
      <c r="C34" s="16">
        <v>5</v>
      </c>
      <c r="D34" s="2">
        <f t="shared" si="2"/>
        <v>225</v>
      </c>
      <c r="F34"/>
      <c r="G34"/>
      <c r="H34"/>
      <c r="I34"/>
    </row>
    <row r="35" spans="1:9" s="7" customFormat="1" ht="15" customHeight="1">
      <c r="A35" s="9" t="s">
        <v>33</v>
      </c>
      <c r="B35" s="17">
        <v>45</v>
      </c>
      <c r="C35" s="16">
        <v>2</v>
      </c>
      <c r="D35" s="2">
        <f t="shared" si="2"/>
        <v>90</v>
      </c>
      <c r="F35"/>
      <c r="G35"/>
      <c r="H35"/>
      <c r="I35"/>
    </row>
    <row r="36" spans="1:9" s="7" customFormat="1" ht="15" customHeight="1">
      <c r="A36" s="9" t="s">
        <v>34</v>
      </c>
      <c r="B36" s="17">
        <v>45</v>
      </c>
      <c r="C36" s="16">
        <v>15</v>
      </c>
      <c r="D36" s="2">
        <f t="shared" si="2"/>
        <v>675</v>
      </c>
      <c r="F36"/>
      <c r="G36"/>
      <c r="H36"/>
      <c r="I36"/>
    </row>
    <row r="37" spans="1:9" s="7" customFormat="1" ht="15" customHeight="1">
      <c r="A37" s="9" t="s">
        <v>10</v>
      </c>
      <c r="B37" s="17">
        <v>45</v>
      </c>
      <c r="C37" s="16">
        <v>8</v>
      </c>
      <c r="D37" s="2">
        <f t="shared" si="2"/>
        <v>360</v>
      </c>
      <c r="F37"/>
      <c r="G37"/>
      <c r="H37"/>
      <c r="I37"/>
    </row>
    <row r="38" spans="1:9" s="7" customFormat="1" ht="15" customHeight="1">
      <c r="A38" s="13" t="s">
        <v>35</v>
      </c>
      <c r="B38" s="17">
        <v>45</v>
      </c>
      <c r="C38" s="16">
        <v>10</v>
      </c>
      <c r="D38" s="2">
        <f t="shared" si="2"/>
        <v>450</v>
      </c>
      <c r="F38"/>
      <c r="G38"/>
      <c r="H38"/>
      <c r="I38"/>
    </row>
    <row r="39" spans="1:9" s="7" customFormat="1" ht="15" customHeight="1">
      <c r="A39" s="13" t="s">
        <v>36</v>
      </c>
      <c r="B39" s="17">
        <v>45</v>
      </c>
      <c r="C39" s="16">
        <v>10</v>
      </c>
      <c r="D39" s="2">
        <f t="shared" si="2"/>
        <v>450</v>
      </c>
      <c r="F39"/>
      <c r="G39"/>
      <c r="H39"/>
      <c r="I39"/>
    </row>
    <row r="40" spans="1:9" s="7" customFormat="1" ht="20.100000000000001" customHeight="1">
      <c r="A40" s="31"/>
      <c r="B40" s="32"/>
      <c r="C40" s="19">
        <f>SUM(C5:C39)</f>
        <v>499</v>
      </c>
      <c r="D40" s="20">
        <f>SUM(D5:D39)</f>
        <v>25555</v>
      </c>
      <c r="F40"/>
      <c r="G40"/>
      <c r="H40"/>
      <c r="I40"/>
    </row>
    <row r="41" spans="1:9" s="7" customFormat="1" ht="15" customHeight="1">
      <c r="A41" s="14" t="s">
        <v>14</v>
      </c>
      <c r="B41" s="17">
        <v>25</v>
      </c>
      <c r="C41" s="16">
        <v>50</v>
      </c>
      <c r="D41" s="2">
        <f t="shared" si="2"/>
        <v>1250</v>
      </c>
      <c r="F41"/>
      <c r="G41"/>
      <c r="H41"/>
      <c r="I41"/>
    </row>
    <row r="42" spans="1:9" s="7" customFormat="1" ht="15" customHeight="1">
      <c r="A42" s="14" t="s">
        <v>19</v>
      </c>
      <c r="B42" s="17">
        <v>25</v>
      </c>
      <c r="C42" s="10">
        <v>25</v>
      </c>
      <c r="D42" s="2">
        <f t="shared" si="2"/>
        <v>625</v>
      </c>
      <c r="F42"/>
      <c r="G42"/>
      <c r="H42"/>
      <c r="I42"/>
    </row>
    <row r="43" spans="1:9" s="7" customFormat="1" ht="15" customHeight="1">
      <c r="A43" s="14" t="s">
        <v>20</v>
      </c>
      <c r="B43" s="17">
        <v>25</v>
      </c>
      <c r="C43" s="10">
        <v>25</v>
      </c>
      <c r="D43" s="2">
        <f t="shared" si="2"/>
        <v>625</v>
      </c>
      <c r="F43"/>
      <c r="G43"/>
      <c r="H43"/>
      <c r="I43"/>
    </row>
    <row r="44" spans="1:9" s="7" customFormat="1" ht="20.100000000000001" customHeight="1">
      <c r="A44" s="31"/>
      <c r="B44" s="32"/>
      <c r="C44" s="19">
        <f>SUM(C41:C43)</f>
        <v>100</v>
      </c>
      <c r="D44" s="20">
        <f>SUM(D41:D43)</f>
        <v>2500</v>
      </c>
      <c r="F44" s="21"/>
    </row>
    <row r="45" spans="1:9" ht="20.100000000000001" customHeight="1">
      <c r="A45" s="29" t="s">
        <v>44</v>
      </c>
      <c r="B45" s="30"/>
      <c r="C45" s="5">
        <f>SUM(C44,C40)</f>
        <v>599</v>
      </c>
      <c r="D45" s="4">
        <f>SUM(D40+D44)</f>
        <v>28055</v>
      </c>
      <c r="F45" s="21"/>
    </row>
  </sheetData>
  <mergeCells count="4">
    <mergeCell ref="A45:B45"/>
    <mergeCell ref="A40:B40"/>
    <mergeCell ref="A44:B44"/>
    <mergeCell ref="B3:E3"/>
  </mergeCells>
  <printOptions horizontalCentered="1"/>
  <pageMargins left="0.39370078740157483" right="0.39370078740157483" top="0.59055118110236227" bottom="0.59055118110236227" header="0" footer="0"/>
  <pageSetup paperSize="9" scale="85" orientation="portrait" r:id="rId1"/>
  <headerFooter>
    <oddHeader>&amp;L      &amp;G&amp;R&amp;"Times New Roman,Normal"&amp;K990000Import – Export     Second  Hand Clothes    Complexo Fabril de Vodra6270-554 Seia&amp;K0070C0www.texamira.cominfo@texamira.com</oddHeader>
    <oddFooter>&amp;CNIPC. 506 372 529 Matriculada &amp;"Book Antiqua,Normal"&amp;8na Conservatória do Registo Comercial de Seia, sob o N.º de Pessoa Colectiva – Capital Social: 200.000€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Folha1</vt:lpstr>
      <vt:lpstr>Folha1!Zone_d_impression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</dc:creator>
  <cp:lastModifiedBy>sabir</cp:lastModifiedBy>
  <cp:lastPrinted>2025-03-25T11:54:16Z</cp:lastPrinted>
  <dcterms:created xsi:type="dcterms:W3CDTF">2016-04-28T15:47:45Z</dcterms:created>
  <dcterms:modified xsi:type="dcterms:W3CDTF">2025-06-11T08:03:28Z</dcterms:modified>
</cp:coreProperties>
</file>
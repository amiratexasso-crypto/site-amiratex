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bir\Documents\catalogues\Nouveaux catalogues\"/>
    </mc:Choice>
  </mc:AlternateContent>
  <xr:revisionPtr revIDLastSave="0" documentId="13_ncr:1_{F53D74F3-CA18-4682-B573-4C78E8FC8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definedNames>
    <definedName name="_xlnm._FilterDatabase" localSheetId="0" hidden="1">Folha1!$E$1:$E$45</definedName>
    <definedName name="_xlnm.Print_Area" localSheetId="0">Folha1!$A$1:$F$45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45" i="1" s="1"/>
  <c r="C40" i="1"/>
  <c r="D7" i="1" l="1"/>
  <c r="F7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1" i="1"/>
  <c r="D42" i="1"/>
  <c r="F42" i="1" s="1"/>
  <c r="D43" i="1"/>
  <c r="F43" i="1" s="1"/>
  <c r="D22" i="1"/>
  <c r="F22" i="1" s="1"/>
  <c r="D15" i="1"/>
  <c r="F15" i="1" s="1"/>
  <c r="D11" i="1"/>
  <c r="F11" i="1" s="1"/>
  <c r="D5" i="1"/>
  <c r="D6" i="1"/>
  <c r="F6" i="1" s="1"/>
  <c r="D8" i="1"/>
  <c r="F8" i="1" s="1"/>
  <c r="D9" i="1"/>
  <c r="F9" i="1" s="1"/>
  <c r="D12" i="1"/>
  <c r="F12" i="1" s="1"/>
  <c r="D13" i="1"/>
  <c r="F13" i="1" s="1"/>
  <c r="D14" i="1"/>
  <c r="F14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10" i="1"/>
  <c r="F10" i="1" s="1"/>
  <c r="D24" i="1"/>
  <c r="F24" i="1" s="1"/>
  <c r="D23" i="1"/>
  <c r="F23" i="1" s="1"/>
  <c r="F41" i="1" l="1"/>
  <c r="F44" i="1" s="1"/>
  <c r="D44" i="1"/>
  <c r="F5" i="1"/>
  <c r="D40" i="1"/>
  <c r="F40" i="1" l="1"/>
  <c r="F45" i="1" s="1"/>
  <c r="D45" i="1"/>
</calcChain>
</file>

<file path=xl/sharedStrings.xml><?xml version="1.0" encoding="utf-8"?>
<sst xmlns="http://schemas.openxmlformats.org/spreadsheetml/2006/main" count="48" uniqueCount="47">
  <si>
    <t>Pantalons Coton Homme</t>
  </si>
  <si>
    <t>Pantalons Enfants</t>
  </si>
  <si>
    <t>Rummages Bébé MIX</t>
  </si>
  <si>
    <t>Chemises Coton Homme</t>
  </si>
  <si>
    <t>Sous-vêtements d’hommes et femmes</t>
  </si>
  <si>
    <t>Short/Culote Courte Homme</t>
  </si>
  <si>
    <t>Robes Coton Femme</t>
  </si>
  <si>
    <t>Tapis</t>
  </si>
  <si>
    <t>Leggings</t>
  </si>
  <si>
    <t>Hawaii</t>
  </si>
  <si>
    <t>T-Shirt Sport</t>
  </si>
  <si>
    <t>Foulards et Châles de Femme</t>
  </si>
  <si>
    <t>Swite à Capuche Homme</t>
  </si>
  <si>
    <t>Vêtements de Sport</t>
  </si>
  <si>
    <t>Chaussures</t>
  </si>
  <si>
    <t>Pantalons Coton Femme</t>
  </si>
  <si>
    <t>Casquette</t>
  </si>
  <si>
    <t>Vêtements de Sport Enfants</t>
  </si>
  <si>
    <t>Sport Original Court</t>
  </si>
  <si>
    <t>Jouets Soft</t>
  </si>
  <si>
    <t>Jouets Dur</t>
  </si>
  <si>
    <t xml:space="preserve">T-Shirt Homme </t>
  </si>
  <si>
    <t xml:space="preserve">T-Shirt Femme </t>
  </si>
  <si>
    <t>Pantalon Mix Enfant</t>
  </si>
  <si>
    <t>Working Suits</t>
  </si>
  <si>
    <t xml:space="preserve">Rummage Nylon </t>
  </si>
  <si>
    <t>Culote Court Femme</t>
  </si>
  <si>
    <t>Jupes Coton Femme</t>
  </si>
  <si>
    <t>Linge de Ménage et de Toilette</t>
  </si>
  <si>
    <t>Rideau de Crochet</t>
  </si>
  <si>
    <t>Textile</t>
  </si>
  <si>
    <t>Girl Fashion Body</t>
  </si>
  <si>
    <t>Tank Top</t>
  </si>
  <si>
    <t>T-Shirt Enfant</t>
  </si>
  <si>
    <t>Polo Enfant</t>
  </si>
  <si>
    <t>Vestes Homme</t>
  </si>
  <si>
    <t>Vestes Femme</t>
  </si>
  <si>
    <t>CATALOGUE AMIRATEX</t>
  </si>
  <si>
    <t>CREME + GRADE A ÉTÉ</t>
  </si>
  <si>
    <t>CONTENEUR 40 PIEDS 599 BALLES</t>
  </si>
  <si>
    <t>DESCRITION</t>
  </si>
  <si>
    <t>KG/BALE</t>
  </si>
  <si>
    <t>N.º BALES</t>
  </si>
  <si>
    <t>TOTAL KGs</t>
  </si>
  <si>
    <t>UNIT PRICE</t>
  </si>
  <si>
    <t>TOTAL PRICE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</si>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</sst>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0.0"/>
    <numFmt numFmtId="166" formatCode="_-* #,##0.00\ [$€-816]_-;\-* #,##0.00\ [$€-816]_-;_-* &quot;-&quot;??\ [$€-816]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u/>
      <sz val="14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166" fontId="1" fillId="0" borderId="1" xfId="1" applyNumberFormat="1" applyFont="1" applyBorder="1"/>
    <xf numFmtId="0" fontId="8" fillId="2" borderId="1" xfId="0" applyFont="1" applyFill="1" applyBorder="1"/>
    <xf numFmtId="166" fontId="6" fillId="0" borderId="4" xfId="1" applyNumberFormat="1" applyFont="1" applyBorder="1"/>
    <xf numFmtId="164" fontId="6" fillId="0" borderId="1" xfId="0" applyNumberFormat="1" applyFont="1" applyBorder="1" applyAlignment="1">
      <alignment horizontal="right" vertical="center"/>
    </xf>
    <xf numFmtId="0" fontId="6" fillId="0" borderId="0" xfId="0" applyFont="1"/>
    <xf numFmtId="165" fontId="8" fillId="2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12" fillId="0" borderId="0" xfId="0" applyFont="1"/>
    <xf numFmtId="166" fontId="6" fillId="0" borderId="4" xfId="1" applyNumberFormat="1" applyFont="1" applyFill="1" applyBorder="1"/>
    <xf numFmtId="164" fontId="6" fillId="3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6" fontId="6" fillId="0" borderId="1" xfId="1" applyNumberFormat="1" applyFont="1" applyFill="1" applyBorder="1"/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166" fontId="6" fillId="4" borderId="4" xfId="1" applyNumberFormat="1" applyFont="1" applyFill="1" applyBorder="1"/>
    <xf numFmtId="166" fontId="6" fillId="4" borderId="1" xfId="1" applyNumberFormat="1" applyFont="1" applyFill="1" applyBorder="1"/>
    <xf numFmtId="166" fontId="0" fillId="0" borderId="0" xfId="0" applyNumberFormat="1"/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3">
    <cellStyle name="Moeda 2" xfId="2" xr:uid="{00000000-0005-0000-0000-000000000000}"/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tabSelected="1" workbookViewId="0"/>
  </sheetViews>
  <sheetFormatPr baseColWidth="10" defaultRowHeight="14.4" x14ac:dyDescent="0.3"/>
  <cols>
    <col min="1" max="1" width="32.77734375" style="1" customWidth="1"/>
    <col min="2" max="2" width="8.6640625" style="1" customWidth="1"/>
    <col min="3" max="3" width="9.6640625" style="24" customWidth="1"/>
    <col min="4" max="4" width="10.6640625" style="6" customWidth="1"/>
    <col min="5" max="5" width="8.6640625" style="11" customWidth="1"/>
    <col min="6" max="6" width="13.6640625" customWidth="1"/>
    <col min="7" max="10" width="8.88671875"/>
    <col min="11" max="11" width="11.6640625" bestFit="1" customWidth="1"/>
  </cols>
  <sheetData>
    <row r="1" spans="1:7" ht="18.899999999999999" customHeight="1" x14ac:dyDescent="0.3">
      <c r="A1" s="31" t="s">
        <v>37</v>
      </c>
      <c r="B1"/>
      <c r="C1"/>
      <c r="D1"/>
      <c r="E1"/>
    </row>
    <row r="2" spans="1:7" ht="15" customHeight="1" x14ac:dyDescent="0.3">
      <c r="B2"/>
      <c r="C2" s="31" t="s">
        <v>38</v>
      </c>
      <c r="D2" s="30"/>
      <c r="E2" s="31"/>
      <c r="F2" s="31"/>
    </row>
    <row r="3" spans="1:7" ht="15" customHeight="1" x14ac:dyDescent="0.3">
      <c r="A3" s="32"/>
      <c r="B3" s="42" t="s">
        <v>39</v>
      </c>
      <c r="C3" s="42"/>
      <c r="D3" s="42"/>
      <c r="E3" s="42"/>
      <c r="F3" s="42"/>
      <c r="G3" s="42"/>
    </row>
    <row r="4" spans="1:7" ht="22.5" customHeight="1" x14ac:dyDescent="0.3">
      <c r="A4" s="37" t="s">
        <v>40</v>
      </c>
      <c r="B4" s="34" t="s">
        <v>41</v>
      </c>
      <c r="C4" s="35" t="s">
        <v>42</v>
      </c>
      <c r="D4" s="35" t="s">
        <v>43</v>
      </c>
      <c r="E4" s="36" t="s">
        <v>44</v>
      </c>
      <c r="F4" s="33" t="s">
        <v>45</v>
      </c>
    </row>
    <row r="5" spans="1:7" ht="15" customHeight="1" x14ac:dyDescent="0.3">
      <c r="A5" s="14" t="s">
        <v>0</v>
      </c>
      <c r="B5" s="21">
        <v>65</v>
      </c>
      <c r="C5" s="22">
        <v>15</v>
      </c>
      <c r="D5" s="5">
        <f>C5*B5</f>
        <v>975</v>
      </c>
      <c r="E5" s="4">
        <v>2.1</v>
      </c>
      <c r="F5" s="2">
        <f>E5*D5</f>
        <v>2047.5</v>
      </c>
    </row>
    <row r="6" spans="1:7" ht="15" customHeight="1" x14ac:dyDescent="0.3">
      <c r="A6" s="14" t="s">
        <v>15</v>
      </c>
      <c r="B6" s="21">
        <v>85</v>
      </c>
      <c r="C6" s="22">
        <v>50</v>
      </c>
      <c r="D6" s="5">
        <f>C6*B6</f>
        <v>4250</v>
      </c>
      <c r="E6" s="4">
        <v>1.6</v>
      </c>
      <c r="F6" s="2">
        <f t="shared" ref="F6:F39" si="0">E6*D6</f>
        <v>6800</v>
      </c>
    </row>
    <row r="7" spans="1:7" ht="15" customHeight="1" x14ac:dyDescent="0.3">
      <c r="A7" s="14" t="s">
        <v>23</v>
      </c>
      <c r="B7" s="21">
        <v>85</v>
      </c>
      <c r="C7" s="22">
        <v>20</v>
      </c>
      <c r="D7" s="5">
        <f>C7*B7</f>
        <v>1700</v>
      </c>
      <c r="E7" s="4">
        <v>1.6</v>
      </c>
      <c r="F7" s="2">
        <f t="shared" si="0"/>
        <v>2720</v>
      </c>
    </row>
    <row r="8" spans="1:7" ht="15" customHeight="1" x14ac:dyDescent="0.3">
      <c r="A8" s="14" t="s">
        <v>8</v>
      </c>
      <c r="B8" s="21">
        <v>45</v>
      </c>
      <c r="C8" s="22">
        <v>6</v>
      </c>
      <c r="D8" s="5">
        <f t="shared" ref="D8:D13" si="1">C8*B8</f>
        <v>270</v>
      </c>
      <c r="E8" s="4">
        <v>1.6</v>
      </c>
      <c r="F8" s="2">
        <f t="shared" si="0"/>
        <v>432</v>
      </c>
    </row>
    <row r="9" spans="1:7" ht="15" customHeight="1" x14ac:dyDescent="0.3">
      <c r="A9" s="14" t="s">
        <v>1</v>
      </c>
      <c r="B9" s="21">
        <v>45</v>
      </c>
      <c r="C9" s="22">
        <v>1</v>
      </c>
      <c r="D9" s="13">
        <f t="shared" si="1"/>
        <v>45</v>
      </c>
      <c r="E9" s="4">
        <v>1.6</v>
      </c>
      <c r="F9" s="2">
        <f t="shared" si="0"/>
        <v>72</v>
      </c>
    </row>
    <row r="10" spans="1:7" ht="15" customHeight="1" x14ac:dyDescent="0.3">
      <c r="A10" s="14" t="s">
        <v>9</v>
      </c>
      <c r="B10" s="23">
        <v>45</v>
      </c>
      <c r="C10" s="22">
        <v>2</v>
      </c>
      <c r="D10" s="5">
        <f>C10*B10</f>
        <v>90</v>
      </c>
      <c r="E10" s="12">
        <v>4.0999999999999996</v>
      </c>
      <c r="F10" s="2">
        <f t="shared" si="0"/>
        <v>368.99999999999994</v>
      </c>
    </row>
    <row r="11" spans="1:7" ht="15" customHeight="1" x14ac:dyDescent="0.3">
      <c r="A11" s="14" t="s">
        <v>24</v>
      </c>
      <c r="B11" s="23">
        <v>45</v>
      </c>
      <c r="C11" s="22">
        <v>7</v>
      </c>
      <c r="D11" s="5">
        <f>C11*B11</f>
        <v>315</v>
      </c>
      <c r="E11" s="12">
        <v>1.6</v>
      </c>
      <c r="F11" s="2">
        <f t="shared" si="0"/>
        <v>504</v>
      </c>
    </row>
    <row r="12" spans="1:7" ht="15" customHeight="1" x14ac:dyDescent="0.3">
      <c r="A12" s="14" t="s">
        <v>2</v>
      </c>
      <c r="B12" s="23">
        <v>45</v>
      </c>
      <c r="C12" s="22">
        <v>30</v>
      </c>
      <c r="D12" s="13">
        <f t="shared" si="1"/>
        <v>1350</v>
      </c>
      <c r="E12" s="4">
        <v>3.1</v>
      </c>
      <c r="F12" s="2">
        <f t="shared" si="0"/>
        <v>4185</v>
      </c>
    </row>
    <row r="13" spans="1:7" ht="15" customHeight="1" x14ac:dyDescent="0.3">
      <c r="A13" s="14" t="s">
        <v>16</v>
      </c>
      <c r="B13" s="23">
        <v>45</v>
      </c>
      <c r="C13" s="22">
        <v>6</v>
      </c>
      <c r="D13" s="13">
        <f t="shared" si="1"/>
        <v>270</v>
      </c>
      <c r="E13" s="4">
        <v>1.6</v>
      </c>
      <c r="F13" s="2">
        <f t="shared" si="0"/>
        <v>432</v>
      </c>
    </row>
    <row r="14" spans="1:7" ht="15" customHeight="1" x14ac:dyDescent="0.3">
      <c r="A14" s="14" t="s">
        <v>4</v>
      </c>
      <c r="B14" s="23">
        <v>45</v>
      </c>
      <c r="C14" s="22">
        <v>6</v>
      </c>
      <c r="D14" s="13">
        <f t="shared" ref="D14:D17" si="2">C14*B14</f>
        <v>270</v>
      </c>
      <c r="E14" s="4">
        <v>2.1</v>
      </c>
      <c r="F14" s="2">
        <f t="shared" si="0"/>
        <v>567</v>
      </c>
    </row>
    <row r="15" spans="1:7" ht="15" customHeight="1" x14ac:dyDescent="0.3">
      <c r="A15" s="16" t="s">
        <v>25</v>
      </c>
      <c r="B15" s="23">
        <v>45</v>
      </c>
      <c r="C15" s="22">
        <v>6</v>
      </c>
      <c r="D15" s="13">
        <f t="shared" si="2"/>
        <v>270</v>
      </c>
      <c r="E15" s="4">
        <v>2.1</v>
      </c>
      <c r="F15" s="2">
        <f t="shared" si="0"/>
        <v>567</v>
      </c>
    </row>
    <row r="16" spans="1:7" ht="15" customHeight="1" x14ac:dyDescent="0.3">
      <c r="A16" s="16" t="s">
        <v>11</v>
      </c>
      <c r="B16" s="23">
        <v>45</v>
      </c>
      <c r="C16" s="22">
        <v>6</v>
      </c>
      <c r="D16" s="13">
        <f t="shared" si="2"/>
        <v>270</v>
      </c>
      <c r="E16" s="4">
        <v>1.6</v>
      </c>
      <c r="F16" s="2">
        <f t="shared" si="0"/>
        <v>432</v>
      </c>
    </row>
    <row r="17" spans="1:11" ht="15" customHeight="1" x14ac:dyDescent="0.3">
      <c r="A17" s="17" t="s">
        <v>3</v>
      </c>
      <c r="B17" s="23">
        <v>45</v>
      </c>
      <c r="C17" s="22">
        <v>5</v>
      </c>
      <c r="D17" s="13">
        <f t="shared" si="2"/>
        <v>225</v>
      </c>
      <c r="E17" s="4">
        <v>3.1</v>
      </c>
      <c r="F17" s="2">
        <f t="shared" si="0"/>
        <v>697.5</v>
      </c>
    </row>
    <row r="18" spans="1:11" s="10" customFormat="1" ht="15" customHeight="1" x14ac:dyDescent="0.3">
      <c r="A18" s="14" t="s">
        <v>12</v>
      </c>
      <c r="B18" s="23">
        <v>45</v>
      </c>
      <c r="C18" s="22">
        <v>10</v>
      </c>
      <c r="D18" s="13">
        <f>C18*B18</f>
        <v>450</v>
      </c>
      <c r="E18" s="4">
        <v>1.3</v>
      </c>
      <c r="F18" s="2">
        <f t="shared" si="0"/>
        <v>585</v>
      </c>
      <c r="H18"/>
      <c r="I18"/>
      <c r="J18"/>
      <c r="K18"/>
    </row>
    <row r="19" spans="1:11" ht="15" customHeight="1" x14ac:dyDescent="0.3">
      <c r="A19" s="17" t="s">
        <v>13</v>
      </c>
      <c r="B19" s="23">
        <v>45</v>
      </c>
      <c r="C19" s="22">
        <v>15</v>
      </c>
      <c r="D19" s="13">
        <f t="shared" ref="D19:D43" si="3">C19*B19</f>
        <v>675</v>
      </c>
      <c r="E19" s="4">
        <v>1.6</v>
      </c>
      <c r="F19" s="2">
        <f t="shared" si="0"/>
        <v>1080</v>
      </c>
    </row>
    <row r="20" spans="1:11" ht="15" customHeight="1" x14ac:dyDescent="0.3">
      <c r="A20" s="17" t="s">
        <v>17</v>
      </c>
      <c r="B20" s="23">
        <v>45</v>
      </c>
      <c r="C20" s="22">
        <v>5</v>
      </c>
      <c r="D20" s="13">
        <f t="shared" si="3"/>
        <v>225</v>
      </c>
      <c r="E20" s="4">
        <v>1.6</v>
      </c>
      <c r="F20" s="2">
        <f t="shared" si="0"/>
        <v>360</v>
      </c>
    </row>
    <row r="21" spans="1:11" ht="15" customHeight="1" x14ac:dyDescent="0.3">
      <c r="A21" s="14" t="s">
        <v>5</v>
      </c>
      <c r="B21" s="23">
        <v>45</v>
      </c>
      <c r="C21" s="22">
        <v>5</v>
      </c>
      <c r="D21" s="13">
        <f t="shared" si="3"/>
        <v>225</v>
      </c>
      <c r="E21" s="4">
        <v>3.1</v>
      </c>
      <c r="F21" s="2">
        <f t="shared" si="0"/>
        <v>697.5</v>
      </c>
    </row>
    <row r="22" spans="1:11" s="11" customFormat="1" ht="15" customHeight="1" x14ac:dyDescent="0.3">
      <c r="A22" s="14" t="s">
        <v>26</v>
      </c>
      <c r="B22" s="23">
        <v>45</v>
      </c>
      <c r="C22" s="22">
        <v>10</v>
      </c>
      <c r="D22" s="13">
        <f t="shared" si="3"/>
        <v>450</v>
      </c>
      <c r="E22" s="4">
        <v>1.35</v>
      </c>
      <c r="F22" s="2">
        <f t="shared" si="0"/>
        <v>607.5</v>
      </c>
      <c r="H22"/>
      <c r="I22"/>
      <c r="J22"/>
      <c r="K22"/>
    </row>
    <row r="23" spans="1:11" s="11" customFormat="1" ht="15" customHeight="1" x14ac:dyDescent="0.3">
      <c r="A23" s="19" t="s">
        <v>18</v>
      </c>
      <c r="B23" s="23">
        <v>45</v>
      </c>
      <c r="C23" s="22">
        <v>1</v>
      </c>
      <c r="D23" s="5">
        <f>C23*B23</f>
        <v>45</v>
      </c>
      <c r="E23" s="12">
        <v>3.6</v>
      </c>
      <c r="F23" s="2">
        <f t="shared" si="0"/>
        <v>162</v>
      </c>
      <c r="H23"/>
      <c r="I23"/>
      <c r="J23"/>
      <c r="K23"/>
    </row>
    <row r="24" spans="1:11" s="11" customFormat="1" ht="15" customHeight="1" x14ac:dyDescent="0.3">
      <c r="A24" s="14" t="s">
        <v>6</v>
      </c>
      <c r="B24" s="23">
        <v>45</v>
      </c>
      <c r="C24" s="22">
        <v>40</v>
      </c>
      <c r="D24" s="5">
        <f t="shared" si="3"/>
        <v>1800</v>
      </c>
      <c r="E24" s="12">
        <v>3.1</v>
      </c>
      <c r="F24" s="2">
        <f t="shared" si="0"/>
        <v>5580</v>
      </c>
      <c r="H24"/>
      <c r="I24"/>
      <c r="J24"/>
      <c r="K24"/>
    </row>
    <row r="25" spans="1:11" s="11" customFormat="1" ht="15" customHeight="1" x14ac:dyDescent="0.3">
      <c r="A25" s="14" t="s">
        <v>27</v>
      </c>
      <c r="B25" s="23">
        <v>45</v>
      </c>
      <c r="C25" s="22">
        <v>40</v>
      </c>
      <c r="D25" s="5">
        <f t="shared" si="3"/>
        <v>1800</v>
      </c>
      <c r="E25" s="12">
        <v>1.6</v>
      </c>
      <c r="F25" s="2">
        <f t="shared" si="0"/>
        <v>2880</v>
      </c>
      <c r="H25"/>
      <c r="I25"/>
      <c r="J25"/>
      <c r="K25"/>
    </row>
    <row r="26" spans="1:11" s="11" customFormat="1" ht="15" customHeight="1" x14ac:dyDescent="0.3">
      <c r="A26" s="14" t="s">
        <v>6</v>
      </c>
      <c r="B26" s="23">
        <v>45</v>
      </c>
      <c r="C26" s="22">
        <v>25</v>
      </c>
      <c r="D26" s="5">
        <f t="shared" si="3"/>
        <v>1125</v>
      </c>
      <c r="E26" s="12">
        <v>1.6</v>
      </c>
      <c r="F26" s="2">
        <f t="shared" si="0"/>
        <v>1800</v>
      </c>
      <c r="H26"/>
      <c r="I26"/>
      <c r="J26"/>
      <c r="K26"/>
    </row>
    <row r="27" spans="1:11" s="11" customFormat="1" ht="15" customHeight="1" x14ac:dyDescent="0.3">
      <c r="A27" s="14" t="s">
        <v>28</v>
      </c>
      <c r="B27" s="23">
        <v>45</v>
      </c>
      <c r="C27" s="22">
        <v>50</v>
      </c>
      <c r="D27" s="5">
        <f t="shared" si="3"/>
        <v>2250</v>
      </c>
      <c r="E27" s="12">
        <v>1.6</v>
      </c>
      <c r="F27" s="2">
        <f t="shared" si="0"/>
        <v>3600</v>
      </c>
      <c r="H27"/>
      <c r="I27"/>
      <c r="J27"/>
      <c r="K27"/>
    </row>
    <row r="28" spans="1:11" s="11" customFormat="1" ht="15" customHeight="1" x14ac:dyDescent="0.3">
      <c r="A28" s="14" t="s">
        <v>29</v>
      </c>
      <c r="B28" s="23">
        <v>45</v>
      </c>
      <c r="C28" s="22">
        <v>20</v>
      </c>
      <c r="D28" s="5">
        <f t="shared" si="3"/>
        <v>900</v>
      </c>
      <c r="E28" s="12">
        <v>1.6</v>
      </c>
      <c r="F28" s="2">
        <f t="shared" si="0"/>
        <v>1440</v>
      </c>
      <c r="H28"/>
      <c r="I28"/>
      <c r="J28"/>
      <c r="K28"/>
    </row>
    <row r="29" spans="1:11" s="11" customFormat="1" ht="15" customHeight="1" x14ac:dyDescent="0.3">
      <c r="A29" s="14" t="s">
        <v>30</v>
      </c>
      <c r="B29" s="23">
        <v>45</v>
      </c>
      <c r="C29" s="22">
        <v>3</v>
      </c>
      <c r="D29" s="5">
        <f t="shared" si="3"/>
        <v>135</v>
      </c>
      <c r="E29" s="12">
        <v>1.6</v>
      </c>
      <c r="F29" s="2">
        <f t="shared" si="0"/>
        <v>216</v>
      </c>
      <c r="H29"/>
      <c r="I29"/>
      <c r="J29"/>
      <c r="K29"/>
    </row>
    <row r="30" spans="1:11" s="11" customFormat="1" ht="14.25" customHeight="1" x14ac:dyDescent="0.3">
      <c r="A30" s="14" t="s">
        <v>7</v>
      </c>
      <c r="B30" s="23">
        <v>45</v>
      </c>
      <c r="C30" s="22">
        <v>5</v>
      </c>
      <c r="D30" s="5">
        <f t="shared" si="3"/>
        <v>225</v>
      </c>
      <c r="E30" s="12">
        <v>1.6</v>
      </c>
      <c r="F30" s="2">
        <f t="shared" si="0"/>
        <v>360</v>
      </c>
      <c r="H30"/>
      <c r="I30"/>
      <c r="J30"/>
      <c r="K30"/>
    </row>
    <row r="31" spans="1:11" s="11" customFormat="1" ht="14.25" customHeight="1" x14ac:dyDescent="0.3">
      <c r="A31" s="14" t="s">
        <v>21</v>
      </c>
      <c r="B31" s="23">
        <v>45</v>
      </c>
      <c r="C31" s="22">
        <v>15</v>
      </c>
      <c r="D31" s="5">
        <f t="shared" si="3"/>
        <v>675</v>
      </c>
      <c r="E31" s="12">
        <v>3.1</v>
      </c>
      <c r="F31" s="2">
        <f t="shared" si="0"/>
        <v>2092.5</v>
      </c>
      <c r="H31"/>
      <c r="I31"/>
      <c r="J31"/>
      <c r="K31"/>
    </row>
    <row r="32" spans="1:11" s="11" customFormat="1" ht="15" customHeight="1" x14ac:dyDescent="0.3">
      <c r="A32" s="14" t="s">
        <v>22</v>
      </c>
      <c r="B32" s="23">
        <v>45</v>
      </c>
      <c r="C32" s="22">
        <v>15</v>
      </c>
      <c r="D32" s="5">
        <f t="shared" si="3"/>
        <v>675</v>
      </c>
      <c r="E32" s="12">
        <v>1.6</v>
      </c>
      <c r="F32" s="2">
        <f t="shared" si="0"/>
        <v>1080</v>
      </c>
      <c r="H32"/>
      <c r="I32"/>
      <c r="J32"/>
      <c r="K32"/>
    </row>
    <row r="33" spans="1:11" s="11" customFormat="1" ht="15" customHeight="1" x14ac:dyDescent="0.3">
      <c r="A33" s="14" t="s">
        <v>31</v>
      </c>
      <c r="B33" s="23">
        <v>45</v>
      </c>
      <c r="C33" s="22">
        <v>30</v>
      </c>
      <c r="D33" s="5">
        <f t="shared" si="3"/>
        <v>1350</v>
      </c>
      <c r="E33" s="12">
        <v>1.6</v>
      </c>
      <c r="F33" s="2">
        <f t="shared" si="0"/>
        <v>2160</v>
      </c>
      <c r="H33"/>
      <c r="I33"/>
      <c r="J33"/>
      <c r="K33"/>
    </row>
    <row r="34" spans="1:11" s="11" customFormat="1" ht="15" customHeight="1" x14ac:dyDescent="0.3">
      <c r="A34" s="14" t="s">
        <v>32</v>
      </c>
      <c r="B34" s="23">
        <v>45</v>
      </c>
      <c r="C34" s="22">
        <v>5</v>
      </c>
      <c r="D34" s="5">
        <f t="shared" si="3"/>
        <v>225</v>
      </c>
      <c r="E34" s="12">
        <v>1.6</v>
      </c>
      <c r="F34" s="2">
        <f t="shared" si="0"/>
        <v>360</v>
      </c>
      <c r="H34"/>
      <c r="I34"/>
      <c r="J34"/>
      <c r="K34"/>
    </row>
    <row r="35" spans="1:11" s="11" customFormat="1" ht="15" customHeight="1" x14ac:dyDescent="0.3">
      <c r="A35" s="14" t="s">
        <v>33</v>
      </c>
      <c r="B35" s="23">
        <v>45</v>
      </c>
      <c r="C35" s="22">
        <v>2</v>
      </c>
      <c r="D35" s="5">
        <f t="shared" si="3"/>
        <v>90</v>
      </c>
      <c r="E35" s="12">
        <v>1.6</v>
      </c>
      <c r="F35" s="2">
        <f t="shared" si="0"/>
        <v>144</v>
      </c>
      <c r="H35"/>
      <c r="I35"/>
      <c r="J35"/>
      <c r="K35"/>
    </row>
    <row r="36" spans="1:11" s="11" customFormat="1" ht="15" customHeight="1" x14ac:dyDescent="0.3">
      <c r="A36" s="14" t="s">
        <v>34</v>
      </c>
      <c r="B36" s="23">
        <v>45</v>
      </c>
      <c r="C36" s="22">
        <v>15</v>
      </c>
      <c r="D36" s="5">
        <f t="shared" si="3"/>
        <v>675</v>
      </c>
      <c r="E36" s="12">
        <v>1.6</v>
      </c>
      <c r="F36" s="2">
        <f t="shared" si="0"/>
        <v>1080</v>
      </c>
      <c r="H36"/>
      <c r="I36"/>
      <c r="J36"/>
      <c r="K36"/>
    </row>
    <row r="37" spans="1:11" s="11" customFormat="1" ht="15" customHeight="1" x14ac:dyDescent="0.3">
      <c r="A37" s="14" t="s">
        <v>10</v>
      </c>
      <c r="B37" s="23">
        <v>45</v>
      </c>
      <c r="C37" s="22">
        <v>8</v>
      </c>
      <c r="D37" s="5">
        <f t="shared" si="3"/>
        <v>360</v>
      </c>
      <c r="E37" s="12">
        <v>3.6</v>
      </c>
      <c r="F37" s="2">
        <f t="shared" si="0"/>
        <v>1296</v>
      </c>
      <c r="H37"/>
      <c r="I37"/>
      <c r="J37"/>
      <c r="K37"/>
    </row>
    <row r="38" spans="1:11" s="11" customFormat="1" ht="15" customHeight="1" x14ac:dyDescent="0.3">
      <c r="A38" s="19" t="s">
        <v>35</v>
      </c>
      <c r="B38" s="23">
        <v>45</v>
      </c>
      <c r="C38" s="22">
        <v>10</v>
      </c>
      <c r="D38" s="5">
        <f t="shared" si="3"/>
        <v>450</v>
      </c>
      <c r="E38" s="12">
        <v>1.6</v>
      </c>
      <c r="F38" s="2">
        <f t="shared" si="0"/>
        <v>720</v>
      </c>
      <c r="H38"/>
      <c r="I38"/>
      <c r="J38"/>
      <c r="K38"/>
    </row>
    <row r="39" spans="1:11" s="11" customFormat="1" ht="15" customHeight="1" x14ac:dyDescent="0.3">
      <c r="A39" s="19" t="s">
        <v>36</v>
      </c>
      <c r="B39" s="23">
        <v>45</v>
      </c>
      <c r="C39" s="22">
        <v>10</v>
      </c>
      <c r="D39" s="5">
        <f t="shared" si="3"/>
        <v>450</v>
      </c>
      <c r="E39" s="12">
        <v>1.6</v>
      </c>
      <c r="F39" s="2">
        <f t="shared" si="0"/>
        <v>720</v>
      </c>
      <c r="H39"/>
      <c r="I39"/>
      <c r="J39"/>
      <c r="K39"/>
    </row>
    <row r="40" spans="1:11" s="11" customFormat="1" ht="20.100000000000001" customHeight="1" x14ac:dyDescent="0.3">
      <c r="A40" s="40"/>
      <c r="B40" s="41"/>
      <c r="C40" s="25">
        <f>SUM(C5:C39)</f>
        <v>499</v>
      </c>
      <c r="D40" s="26">
        <f>SUM(D5:D39)</f>
        <v>25555</v>
      </c>
      <c r="E40" s="27"/>
      <c r="F40" s="28">
        <f>SUM(F5:F39)</f>
        <v>48845.5</v>
      </c>
      <c r="H40"/>
      <c r="I40"/>
      <c r="J40"/>
      <c r="K40"/>
    </row>
    <row r="41" spans="1:11" s="11" customFormat="1" ht="15" customHeight="1" x14ac:dyDescent="0.3">
      <c r="A41" s="20" t="s">
        <v>14</v>
      </c>
      <c r="B41" s="23">
        <v>25</v>
      </c>
      <c r="C41" s="22">
        <v>50</v>
      </c>
      <c r="D41" s="5">
        <f t="shared" si="3"/>
        <v>1250</v>
      </c>
      <c r="E41" s="12">
        <v>3.1</v>
      </c>
      <c r="F41" s="18">
        <f t="shared" ref="F41" si="4">E41*D41</f>
        <v>3875</v>
      </c>
      <c r="H41"/>
      <c r="I41"/>
      <c r="J41"/>
      <c r="K41"/>
    </row>
    <row r="42" spans="1:11" s="11" customFormat="1" ht="15" customHeight="1" x14ac:dyDescent="0.3">
      <c r="A42" s="20" t="s">
        <v>19</v>
      </c>
      <c r="B42" s="23">
        <v>25</v>
      </c>
      <c r="C42" s="15">
        <v>25</v>
      </c>
      <c r="D42" s="5">
        <f t="shared" si="3"/>
        <v>625</v>
      </c>
      <c r="E42" s="12">
        <v>0.9</v>
      </c>
      <c r="F42" s="18">
        <f t="shared" ref="F42" si="5">E42*D42</f>
        <v>562.5</v>
      </c>
      <c r="H42"/>
      <c r="I42"/>
      <c r="J42"/>
      <c r="K42"/>
    </row>
    <row r="43" spans="1:11" s="11" customFormat="1" ht="15" customHeight="1" x14ac:dyDescent="0.3">
      <c r="A43" s="20" t="s">
        <v>20</v>
      </c>
      <c r="B43" s="23">
        <v>25</v>
      </c>
      <c r="C43" s="15">
        <v>25</v>
      </c>
      <c r="D43" s="5">
        <f t="shared" si="3"/>
        <v>625</v>
      </c>
      <c r="E43" s="12">
        <v>1.35</v>
      </c>
      <c r="F43" s="18">
        <f t="shared" ref="F43" si="6">E43*D43</f>
        <v>843.75</v>
      </c>
      <c r="H43"/>
      <c r="I43"/>
      <c r="J43"/>
      <c r="K43"/>
    </row>
    <row r="44" spans="1:11" s="11" customFormat="1" ht="20.100000000000001" customHeight="1" x14ac:dyDescent="0.3">
      <c r="A44" s="40"/>
      <c r="B44" s="41"/>
      <c r="C44" s="25">
        <f>SUM(C41:C43)</f>
        <v>100</v>
      </c>
      <c r="D44" s="26">
        <f>SUM(D41:D43)</f>
        <v>2500</v>
      </c>
      <c r="E44" s="27"/>
      <c r="F44" s="28">
        <f>SUM(F41:F43)</f>
        <v>5281.25</v>
      </c>
      <c r="H44" s="29"/>
    </row>
    <row r="45" spans="1:11" ht="20.100000000000001" customHeight="1" x14ac:dyDescent="0.3">
      <c r="A45" s="38" t="s">
        <v>46</v>
      </c>
      <c r="B45" s="39"/>
      <c r="C45" s="8">
        <f>SUM(C44,C40)</f>
        <v>599</v>
      </c>
      <c r="D45" s="7">
        <f>SUM(D40+D44)</f>
        <v>28055</v>
      </c>
      <c r="E45" s="3"/>
      <c r="F45" s="9">
        <f>SUM(F40+F44)</f>
        <v>54126.75</v>
      </c>
      <c r="H45" s="29"/>
    </row>
  </sheetData>
  <mergeCells count="4">
    <mergeCell ref="A45:B45"/>
    <mergeCell ref="A40:B40"/>
    <mergeCell ref="A44:B44"/>
    <mergeCell ref="B3:G3"/>
  </mergeCells>
  <printOptions horizontalCentered="1"/>
  <pageMargins left="0.39370078740157483" right="0.39370078740157483" top="0.59055118110236227" bottom="0.5905511811023622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Folha1</vt:lpstr>
      <vt:lpstr>Folha1!Zone_d_impression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hicham habibchorfa</cp:lastModifiedBy>
  <cp:lastPrinted>2026-03-11T09:52:11Z</cp:lastPrinted>
  <dcterms:created xsi:type="dcterms:W3CDTF">2016-04-28T15:47:45Z</dcterms:created>
  <dcterms:modified xsi:type="dcterms:W3CDTF">2026-03-11T14:26:58Z</dcterms:modified>
</cp:coreProperties>
</file>
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sabir\Documents\catalogues\Nouveaux catalogues\"/>
    </mc:Choice>
  </mc:AlternateContent>
  <xr:revisionPtr revIDLastSave="0" documentId="13_ncr:1_{D4D2E013-EE56-471F-8082-9D0C27F16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7" i="1" l="1"/>
  <c r="F7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18" i="1"/>
  <c r="F18" i="1" s="1"/>
  <c r="D13" i="1"/>
  <c r="F13" i="1" s="1"/>
  <c r="D10" i="1"/>
  <c r="F10" i="1" s="1"/>
  <c r="D6" i="1"/>
  <c r="F6" i="1" s="1"/>
  <c r="D8" i="1"/>
  <c r="F8" i="1" s="1"/>
  <c r="D9" i="1"/>
  <c r="F9" i="1" s="1"/>
  <c r="D11" i="1"/>
  <c r="F11" i="1" s="1"/>
  <c r="D12" i="1"/>
  <c r="F12" i="1" s="1"/>
  <c r="D14" i="1"/>
  <c r="F14" i="1" s="1"/>
  <c r="D15" i="1"/>
  <c r="F15" i="1" s="1"/>
  <c r="D16" i="1"/>
  <c r="F16" i="1" s="1"/>
  <c r="D17" i="1"/>
  <c r="F17" i="1" s="1"/>
  <c r="D20" i="1"/>
  <c r="F20" i="1" s="1"/>
  <c r="D19" i="1"/>
  <c r="F19" i="1" s="1"/>
  <c r="D27" i="1" l="1"/>
  <c r="F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sabir</author>
  </authors>
  <commentList>
    <comment ref="A24" authorId="0" shapeId="0" xr:uid="{4339DFB7-05BD-4623-966C-31DAD1AA4479}">
      <text>
        <r>
          <rPr>
            <b/>
            <sz val="9"/>
            <color indexed="81"/>
            <rFont val="Tahoma"/>
            <charset val="1"/>
          </rPr>
          <t>sabir: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<sst xmlns="http://schemas.openxmlformats.org/spreadsheetml/2006/main" count="30" uniqueCount="30">
  <si>
    <t>DESCRITION</t>
  </si>
  <si>
    <t>KG/BALE</t>
  </si>
  <si>
    <t>N.º BALES</t>
  </si>
  <si>
    <t>TOTAL KGs</t>
  </si>
  <si>
    <t>UNIT PRICE</t>
  </si>
  <si>
    <t>TOTAL PRICE</t>
  </si>
  <si>
    <t>Pantalons Coton Homme</t>
  </si>
  <si>
    <t>Chemises Coton Homme</t>
  </si>
  <si>
    <t>Robes Coton Femme</t>
  </si>
  <si>
    <t>Vêtements de Sport</t>
  </si>
  <si>
    <t>Jupes Coton Femme</t>
  </si>
  <si>
    <t>Polo Enfant</t>
  </si>
  <si>
    <t>Pantalons Jeans Homme</t>
  </si>
  <si>
    <t>Pantalons Terregal Homme</t>
  </si>
  <si>
    <t>Pantalons Mixte Femme</t>
  </si>
  <si>
    <t>Pantalons Enfant</t>
  </si>
  <si>
    <t>Rummages Bébé</t>
  </si>
  <si>
    <t>Sous-vêtements d'hommes et femmes</t>
  </si>
  <si>
    <t>Chemises Coton Femme</t>
  </si>
  <si>
    <t>T-Shirts Homme</t>
  </si>
  <si>
    <t>T-Shirts Femme</t>
  </si>
  <si>
    <t>Débardeurs</t>
  </si>
  <si>
    <t>Capuche Polo</t>
  </si>
  <si>
    <t>Culote Court</t>
  </si>
  <si>
    <t>Rumamages Maison</t>
  </si>
  <si>
    <t>Draps de lit</t>
  </si>
  <si>
    <t>Couvre-lit</t>
  </si>
  <si>
    <t>CATALOGUE AMIRATEX</t>
  </si>
  <si>
    <t xml:space="preserve"> GRADE B ÉTÉ</t>
  </si>
  <si>
    <t>CONTENEUR 20 PIEDS 275 BALLES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</si>
</sst>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0.0"/>
    <numFmt numFmtId="166" formatCode="_-* #,##0.00\ [$€-816]_-;\-* #,##0.00\ [$€-816]_-;_-* &quot;-&quot;??\ [$€-816]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u/>
      <sz val="14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66" fontId="1" fillId="0" borderId="1" xfId="1" applyNumberFormat="1" applyFont="1" applyBorder="1"/>
    <xf numFmtId="0" fontId="8" fillId="2" borderId="1" xfId="0" applyFont="1" applyFill="1" applyBorder="1"/>
    <xf numFmtId="166" fontId="5" fillId="0" borderId="4" xfId="1" applyNumberFormat="1" applyFont="1" applyBorder="1"/>
    <xf numFmtId="164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165" fontId="8" fillId="2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1" fillId="0" borderId="0" xfId="0" applyFont="1"/>
    <xf numFmtId="164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3">
    <cellStyle name="Moeda 2" xfId="2" xr:uid="{00000000-0005-0000-0000-000000000000}"/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topLeftCell="A3" workbookViewId="0">
      <selection activeCell="A5" sqref="A5:F27"/>
    </sheetView>
  </sheetViews>
  <sheetFormatPr baseColWidth="10" defaultRowHeight="14.4" x14ac:dyDescent="0.3"/>
  <cols>
    <col min="1" max="1" width="30.88671875" style="1" customWidth="1"/>
    <col min="2" max="2" width="8.6640625" style="1" customWidth="1"/>
    <col min="3" max="3" width="9.6640625" style="18" customWidth="1"/>
    <col min="4" max="4" width="10.6640625" style="6" customWidth="1"/>
    <col min="5" max="5" width="8.6640625" style="15" customWidth="1"/>
    <col min="6" max="6" width="13.6640625" customWidth="1"/>
  </cols>
  <sheetData>
    <row r="1" spans="1:8" ht="18.899999999999999" customHeight="1" x14ac:dyDescent="0.3">
      <c r="A1" s="24" t="s">
        <v>27</v>
      </c>
      <c r="B1"/>
      <c r="C1"/>
      <c r="D1"/>
      <c r="E1"/>
    </row>
    <row r="2" spans="1:8" ht="15" customHeight="1" x14ac:dyDescent="0.3">
      <c r="A2"/>
      <c r="B2"/>
      <c r="C2" s="24" t="s">
        <v>28</v>
      </c>
      <c r="D2" s="23"/>
      <c r="E2" s="24"/>
      <c r="F2" s="24"/>
    </row>
    <row r="3" spans="1:8" ht="15" customHeight="1" x14ac:dyDescent="0.3">
      <c r="A3" s="25"/>
      <c r="B3" s="28" t="s">
        <v>29</v>
      </c>
      <c r="C3" s="28"/>
      <c r="D3" s="28"/>
      <c r="E3" s="28"/>
      <c r="F3" s="28"/>
      <c r="G3" s="28"/>
    </row>
    <row r="4" spans="1:8" ht="15" customHeight="1" x14ac:dyDescent="0.3">
      <c r="E4" s="6"/>
      <c r="F4" s="1"/>
    </row>
    <row r="5" spans="1:8" ht="22.5" customHeight="1" x14ac:dyDescent="0.3">
      <c r="A5" s="21" t="s">
        <v>0</v>
      </c>
      <c r="B5" s="11" t="s">
        <v>1</v>
      </c>
      <c r="C5" s="12" t="s">
        <v>2</v>
      </c>
      <c r="D5" s="12" t="s">
        <v>3</v>
      </c>
      <c r="E5" s="14" t="s">
        <v>4</v>
      </c>
      <c r="F5" s="10" t="s">
        <v>5</v>
      </c>
    </row>
    <row r="6" spans="1:8" ht="15" customHeight="1" x14ac:dyDescent="0.3">
      <c r="A6" s="22" t="s">
        <v>6</v>
      </c>
      <c r="B6" s="19">
        <v>45</v>
      </c>
      <c r="C6" s="17">
        <v>5</v>
      </c>
      <c r="D6" s="5">
        <f>C6*B6</f>
        <v>225</v>
      </c>
      <c r="E6" s="4">
        <v>0.85000000000000009</v>
      </c>
      <c r="F6" s="2">
        <f t="shared" ref="F6:F26" si="0">E6*D6</f>
        <v>191.25000000000003</v>
      </c>
    </row>
    <row r="7" spans="1:8" ht="15" customHeight="1" x14ac:dyDescent="0.3">
      <c r="A7" s="22" t="s">
        <v>12</v>
      </c>
      <c r="B7" s="19">
        <v>45</v>
      </c>
      <c r="C7" s="17">
        <v>7</v>
      </c>
      <c r="D7" s="5">
        <f>C7*B7</f>
        <v>315</v>
      </c>
      <c r="E7" s="4">
        <v>0.85000000000000009</v>
      </c>
      <c r="F7" s="2">
        <f t="shared" si="0"/>
        <v>267.75</v>
      </c>
    </row>
    <row r="8" spans="1:8" ht="15" customHeight="1" x14ac:dyDescent="0.3">
      <c r="A8" s="22" t="s">
        <v>13</v>
      </c>
      <c r="B8" s="19">
        <v>45</v>
      </c>
      <c r="C8" s="17">
        <v>7</v>
      </c>
      <c r="D8" s="5">
        <f t="shared" ref="D8:D12" si="1">C8*B8</f>
        <v>315</v>
      </c>
      <c r="E8" s="4">
        <v>0.85000000000000009</v>
      </c>
      <c r="F8" s="2">
        <f t="shared" si="0"/>
        <v>267.75</v>
      </c>
    </row>
    <row r="9" spans="1:8" ht="15" customHeight="1" x14ac:dyDescent="0.3">
      <c r="A9" s="22" t="s">
        <v>14</v>
      </c>
      <c r="B9" s="19">
        <v>45</v>
      </c>
      <c r="C9" s="17">
        <v>25</v>
      </c>
      <c r="D9" s="16">
        <f t="shared" si="1"/>
        <v>1125</v>
      </c>
      <c r="E9" s="4">
        <v>0.85000000000000009</v>
      </c>
      <c r="F9" s="2">
        <f t="shared" si="0"/>
        <v>956.25000000000011</v>
      </c>
    </row>
    <row r="10" spans="1:8" ht="15" customHeight="1" x14ac:dyDescent="0.3">
      <c r="A10" s="22" t="s">
        <v>15</v>
      </c>
      <c r="B10" s="20">
        <v>45</v>
      </c>
      <c r="C10" s="17">
        <v>2</v>
      </c>
      <c r="D10" s="5">
        <f>C10*B10</f>
        <v>90</v>
      </c>
      <c r="E10" s="4">
        <v>0.85000000000000009</v>
      </c>
      <c r="F10" s="2">
        <f t="shared" si="0"/>
        <v>76.500000000000014</v>
      </c>
    </row>
    <row r="11" spans="1:8" ht="15" customHeight="1" x14ac:dyDescent="0.3">
      <c r="A11" s="22" t="s">
        <v>16</v>
      </c>
      <c r="B11" s="20">
        <v>45</v>
      </c>
      <c r="C11" s="17">
        <v>25</v>
      </c>
      <c r="D11" s="16">
        <f t="shared" si="1"/>
        <v>1125</v>
      </c>
      <c r="E11" s="4">
        <v>1.05</v>
      </c>
      <c r="F11" s="2">
        <f t="shared" si="0"/>
        <v>1181.25</v>
      </c>
    </row>
    <row r="12" spans="1:8" ht="15" customHeight="1" x14ac:dyDescent="0.3">
      <c r="A12" s="22" t="s">
        <v>17</v>
      </c>
      <c r="B12" s="20">
        <v>45</v>
      </c>
      <c r="C12" s="17">
        <v>10</v>
      </c>
      <c r="D12" s="16">
        <f t="shared" si="1"/>
        <v>450</v>
      </c>
      <c r="E12" s="4">
        <v>0.85000000000000009</v>
      </c>
      <c r="F12" s="2">
        <f t="shared" si="0"/>
        <v>382.50000000000006</v>
      </c>
    </row>
    <row r="13" spans="1:8" ht="15" customHeight="1" x14ac:dyDescent="0.3">
      <c r="A13" s="22" t="s">
        <v>7</v>
      </c>
      <c r="B13" s="20">
        <v>45</v>
      </c>
      <c r="C13" s="17">
        <v>10</v>
      </c>
      <c r="D13" s="16">
        <f t="shared" ref="D13:D14" si="2">C13*B13</f>
        <v>450</v>
      </c>
      <c r="E13" s="4">
        <v>1.05</v>
      </c>
      <c r="F13" s="2">
        <f t="shared" si="0"/>
        <v>472.5</v>
      </c>
    </row>
    <row r="14" spans="1:8" ht="15" customHeight="1" x14ac:dyDescent="0.3">
      <c r="A14" s="22" t="s">
        <v>18</v>
      </c>
      <c r="B14" s="20">
        <v>45</v>
      </c>
      <c r="C14" s="17">
        <v>12</v>
      </c>
      <c r="D14" s="16">
        <f t="shared" si="2"/>
        <v>540</v>
      </c>
      <c r="E14" s="4">
        <v>0.85000000000000009</v>
      </c>
      <c r="F14" s="2">
        <f t="shared" si="0"/>
        <v>459.00000000000006</v>
      </c>
    </row>
    <row r="15" spans="1:8" s="13" customFormat="1" ht="15" customHeight="1" x14ac:dyDescent="0.3">
      <c r="A15" s="22" t="s">
        <v>19</v>
      </c>
      <c r="B15" s="20">
        <v>45</v>
      </c>
      <c r="C15" s="17">
        <v>12</v>
      </c>
      <c r="D15" s="16">
        <f>C15*B15</f>
        <v>540</v>
      </c>
      <c r="E15" s="4">
        <v>1.05</v>
      </c>
      <c r="F15" s="2">
        <f t="shared" si="0"/>
        <v>567</v>
      </c>
      <c r="H15"/>
    </row>
    <row r="16" spans="1:8" ht="15" customHeight="1" x14ac:dyDescent="0.3">
      <c r="A16" s="22" t="s">
        <v>20</v>
      </c>
      <c r="B16" s="20">
        <v>45</v>
      </c>
      <c r="C16" s="17">
        <v>12</v>
      </c>
      <c r="D16" s="16">
        <f t="shared" ref="D16:D26" si="3">C16*B16</f>
        <v>540</v>
      </c>
      <c r="E16" s="4">
        <v>0.85000000000000009</v>
      </c>
      <c r="F16" s="2">
        <f t="shared" si="0"/>
        <v>459.00000000000006</v>
      </c>
    </row>
    <row r="17" spans="1:8" ht="15" customHeight="1" x14ac:dyDescent="0.3">
      <c r="A17" s="22" t="s">
        <v>21</v>
      </c>
      <c r="B17" s="20">
        <v>45</v>
      </c>
      <c r="C17" s="17">
        <v>12</v>
      </c>
      <c r="D17" s="16">
        <f t="shared" si="3"/>
        <v>540</v>
      </c>
      <c r="E17" s="4">
        <v>0.85000000000000009</v>
      </c>
      <c r="F17" s="2">
        <f t="shared" si="0"/>
        <v>459.00000000000006</v>
      </c>
    </row>
    <row r="18" spans="1:8" s="15" customFormat="1" ht="15" customHeight="1" x14ac:dyDescent="0.3">
      <c r="A18" s="22" t="s">
        <v>22</v>
      </c>
      <c r="B18" s="20">
        <v>45</v>
      </c>
      <c r="C18" s="17">
        <v>12</v>
      </c>
      <c r="D18" s="16">
        <f t="shared" si="3"/>
        <v>540</v>
      </c>
      <c r="E18" s="4">
        <v>0.85000000000000009</v>
      </c>
      <c r="F18" s="2">
        <f t="shared" si="0"/>
        <v>459.00000000000006</v>
      </c>
      <c r="H18"/>
    </row>
    <row r="19" spans="1:8" s="15" customFormat="1" ht="15" customHeight="1" x14ac:dyDescent="0.3">
      <c r="A19" s="22" t="s">
        <v>11</v>
      </c>
      <c r="B19" s="20">
        <v>45</v>
      </c>
      <c r="C19" s="17">
        <v>12</v>
      </c>
      <c r="D19" s="5">
        <f>C19*B19</f>
        <v>540</v>
      </c>
      <c r="E19" s="4">
        <v>0.85000000000000009</v>
      </c>
      <c r="F19" s="2">
        <f t="shared" si="0"/>
        <v>459.00000000000006</v>
      </c>
      <c r="H19"/>
    </row>
    <row r="20" spans="1:8" s="15" customFormat="1" ht="15" customHeight="1" x14ac:dyDescent="0.3">
      <c r="A20" s="22" t="s">
        <v>9</v>
      </c>
      <c r="B20" s="20">
        <v>45</v>
      </c>
      <c r="C20" s="17">
        <v>10</v>
      </c>
      <c r="D20" s="5">
        <f t="shared" si="3"/>
        <v>450</v>
      </c>
      <c r="E20" s="4">
        <v>0.85000000000000009</v>
      </c>
      <c r="F20" s="2">
        <f t="shared" si="0"/>
        <v>382.50000000000006</v>
      </c>
      <c r="H20"/>
    </row>
    <row r="21" spans="1:8" s="15" customFormat="1" ht="15" customHeight="1" x14ac:dyDescent="0.3">
      <c r="A21" s="22" t="s">
        <v>23</v>
      </c>
      <c r="B21" s="20">
        <v>45</v>
      </c>
      <c r="C21" s="17">
        <v>25</v>
      </c>
      <c r="D21" s="5">
        <f t="shared" si="3"/>
        <v>1125</v>
      </c>
      <c r="E21" s="4">
        <v>0.85000000000000009</v>
      </c>
      <c r="F21" s="2">
        <f t="shared" si="0"/>
        <v>956.25000000000011</v>
      </c>
      <c r="H21"/>
    </row>
    <row r="22" spans="1:8" s="15" customFormat="1" ht="15" customHeight="1" x14ac:dyDescent="0.3">
      <c r="A22" s="22" t="s">
        <v>8</v>
      </c>
      <c r="B22" s="20">
        <v>45</v>
      </c>
      <c r="C22" s="17">
        <v>18</v>
      </c>
      <c r="D22" s="5">
        <f t="shared" si="3"/>
        <v>810</v>
      </c>
      <c r="E22" s="4">
        <v>0.85000000000000009</v>
      </c>
      <c r="F22" s="2">
        <f t="shared" si="0"/>
        <v>688.50000000000011</v>
      </c>
      <c r="H22"/>
    </row>
    <row r="23" spans="1:8" s="15" customFormat="1" ht="15" customHeight="1" x14ac:dyDescent="0.3">
      <c r="A23" s="22" t="s">
        <v>10</v>
      </c>
      <c r="B23" s="20">
        <v>45</v>
      </c>
      <c r="C23" s="17">
        <v>18</v>
      </c>
      <c r="D23" s="5">
        <f t="shared" si="3"/>
        <v>810</v>
      </c>
      <c r="E23" s="4">
        <v>0.85000000000000009</v>
      </c>
      <c r="F23" s="2">
        <f t="shared" si="0"/>
        <v>688.50000000000011</v>
      </c>
      <c r="H23"/>
    </row>
    <row r="24" spans="1:8" s="15" customFormat="1" ht="14.25" customHeight="1" x14ac:dyDescent="0.3">
      <c r="A24" s="22" t="s">
        <v>24</v>
      </c>
      <c r="B24" s="20">
        <v>45</v>
      </c>
      <c r="C24" s="17">
        <v>25</v>
      </c>
      <c r="D24" s="5">
        <f t="shared" si="3"/>
        <v>1125</v>
      </c>
      <c r="E24" s="4">
        <v>0.85000000000000009</v>
      </c>
      <c r="F24" s="2">
        <f t="shared" si="0"/>
        <v>956.25000000000011</v>
      </c>
      <c r="H24"/>
    </row>
    <row r="25" spans="1:8" s="15" customFormat="1" ht="14.25" customHeight="1" x14ac:dyDescent="0.3">
      <c r="A25" s="22" t="s">
        <v>25</v>
      </c>
      <c r="B25" s="20">
        <v>45</v>
      </c>
      <c r="C25" s="17">
        <v>10</v>
      </c>
      <c r="D25" s="5">
        <f t="shared" si="3"/>
        <v>450</v>
      </c>
      <c r="E25" s="4">
        <v>0.85000000000000009</v>
      </c>
      <c r="F25" s="2">
        <f t="shared" si="0"/>
        <v>382.50000000000006</v>
      </c>
      <c r="H25"/>
    </row>
    <row r="26" spans="1:8" s="15" customFormat="1" ht="15" customHeight="1" x14ac:dyDescent="0.3">
      <c r="A26" s="22" t="s">
        <v>26</v>
      </c>
      <c r="B26" s="20">
        <v>45</v>
      </c>
      <c r="C26" s="17">
        <v>6</v>
      </c>
      <c r="D26" s="5">
        <f t="shared" si="3"/>
        <v>270</v>
      </c>
      <c r="E26" s="4">
        <v>0.85000000000000009</v>
      </c>
      <c r="F26" s="2">
        <f t="shared" si="0"/>
        <v>229.50000000000003</v>
      </c>
      <c r="H26"/>
    </row>
    <row r="27" spans="1:8" ht="30" customHeight="1" x14ac:dyDescent="0.3">
      <c r="A27" s="26"/>
      <c r="B27" s="27"/>
      <c r="C27" s="8">
        <f>SUM(C6:C26)</f>
        <v>275</v>
      </c>
      <c r="D27" s="7">
        <f>SUM(D6:D26)</f>
        <v>12375</v>
      </c>
      <c r="E27" s="3"/>
      <c r="F27" s="9">
        <f>SUM(F8:F26)</f>
        <v>10482.75</v>
      </c>
    </row>
  </sheetData>
  <mergeCells count="2">
    <mergeCell ref="A27:B27"/>
    <mergeCell ref="B3:G3"/>
  </mergeCells>
  <printOptions horizontalCentered="1"/>
  <pageMargins left="0.39370078740157483" right="0.39370078740157483" top="0.59055118110236227" bottom="0.5905511811023622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hicham habibchorfa</cp:lastModifiedBy>
  <cp:lastPrinted>2026-03-11T09:58:26Z</cp:lastPrinted>
  <dcterms:created xsi:type="dcterms:W3CDTF">2016-04-28T15:47:45Z</dcterms:created>
  <dcterms:modified xsi:type="dcterms:W3CDTF">2026-04-30T13:40:36Z</dcterms:modified>
</cp:coreProperties>
</file>
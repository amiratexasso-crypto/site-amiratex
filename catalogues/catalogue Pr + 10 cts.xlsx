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8" yWindow="-108" windowWidth="23256" windowHeight="12456"/>
  </bookViews>
  <sheets>
    <sheet name="LISTE CATEGORIE" sheetId="1" r:id="rId1"/>
    <sheet name="Feuil5" sheetId="8" r:id="rId2"/>
    <sheet name="Feuil1" sheetId="4" r:id="rId3"/>
    <sheet name="Feuil2" sheetId="2" r:id="rId4"/>
    <sheet name="Feuil3" sheetId="5" r:id="rId5"/>
    <sheet name="Feuil2 (2)" sheetId="3" r:id="rId6"/>
    <sheet name="Feuil4" sheetId="7" r:id="rId7"/>
    <sheet name="LISTE CATEGORIE (2)" sheetId="6" r:id="rId8"/>
  </sheets>
  <externalReferences>
    <externalReference r:id="rId9"/>
  </externalReferences>
  <definedNames>
    <definedName name="_xlnm._FilterDatabase" localSheetId="0" hidden="1">'LISTE CATEGORIE'!$H$7:$H$110</definedName>
    <definedName name="_xlnm._FilterDatabase" localSheetId="7" hidden="1">'LISTE CATEGORIE (2)'!$H$7:$H$110</definedName>
    <definedName name="clients" localSheetId="3">[1]!liste_clients[[#All],[SELECTIONNER LE CLIENT]]</definedName>
    <definedName name="clients" localSheetId="5">[1]!liste_clients[[#All],[SELECTIONNER LE CLIENT]]</definedName>
    <definedName name="l_clients">[1]liste_clients!$A:$A</definedName>
    <definedName name="_xlnm.Print_Area" localSheetId="3">Feuil2!$A$1:$H$61</definedName>
    <definedName name="_xlnm.Print_Area" localSheetId="5">'Feuil2 (2)'!$A$1:$H$61</definedName>
    <definedName name="_xlnm.Print_Area" localSheetId="6">Feuil4!$A$1:$F$216</definedName>
    <definedName name="_xlnm.Print_Area" localSheetId="0">'LISTE CATEGORIE'!$B$5:$G$219</definedName>
    <definedName name="_xlnm.Print_Area" localSheetId="7">'LISTE CATEGORIE (2)'!$B$3:$I$110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/>
  <c r="B5" i="8"/>
  <c r="B6"/>
  <c r="B7"/>
  <c r="B8"/>
  <c r="B9"/>
  <c r="B10"/>
  <c r="B11"/>
  <c r="B12"/>
  <c r="B13"/>
  <c r="B14"/>
  <c r="B15"/>
  <c r="B16"/>
  <c r="B17"/>
  <c r="B18"/>
  <c r="B19"/>
  <c r="B20"/>
  <c r="B21"/>
  <c r="B22"/>
  <c r="B23"/>
  <c r="B4"/>
  <c r="L10" i="1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9"/>
  <c r="F216" i="7"/>
  <c r="F215"/>
  <c r="F214"/>
  <c r="F213"/>
  <c r="F212"/>
  <c r="F211"/>
  <c r="F209"/>
  <c r="F208"/>
  <c r="F207"/>
  <c r="F206"/>
  <c r="F205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8"/>
  <c r="F177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07"/>
  <c r="F106"/>
  <c r="F105"/>
  <c r="F104"/>
  <c r="F103"/>
  <c r="F102"/>
  <c r="F100"/>
  <c r="F99"/>
  <c r="F98"/>
  <c r="F97"/>
  <c r="F96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69"/>
  <c r="F68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219" i="1"/>
  <c r="G218"/>
  <c r="G217"/>
  <c r="G216"/>
  <c r="G215"/>
  <c r="G214"/>
  <c r="G212"/>
  <c r="G211"/>
  <c r="G210"/>
  <c r="G209"/>
  <c r="G208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1"/>
  <c r="G180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K110" i="6"/>
  <c r="G110"/>
  <c r="I110" s="1"/>
  <c r="K109"/>
  <c r="G109"/>
  <c r="I109" s="1"/>
  <c r="K108"/>
  <c r="I108"/>
  <c r="G108"/>
  <c r="K107"/>
  <c r="G107"/>
  <c r="I107" s="1"/>
  <c r="K106"/>
  <c r="G106"/>
  <c r="I106" s="1"/>
  <c r="K105"/>
  <c r="G105"/>
  <c r="I105" s="1"/>
  <c r="K103"/>
  <c r="G103"/>
  <c r="I103" s="1"/>
  <c r="K102"/>
  <c r="G102"/>
  <c r="I102" s="1"/>
  <c r="K101"/>
  <c r="G101"/>
  <c r="I101" s="1"/>
  <c r="K100"/>
  <c r="I100"/>
  <c r="G100"/>
  <c r="K99"/>
  <c r="I99"/>
  <c r="G99"/>
  <c r="K97"/>
  <c r="I97"/>
  <c r="G97"/>
  <c r="K96"/>
  <c r="G96"/>
  <c r="I96" s="1"/>
  <c r="K95"/>
  <c r="I95"/>
  <c r="G95"/>
  <c r="K94"/>
  <c r="I94"/>
  <c r="G94"/>
  <c r="K93"/>
  <c r="I93"/>
  <c r="G93"/>
  <c r="K92"/>
  <c r="G92"/>
  <c r="I92" s="1"/>
  <c r="K91"/>
  <c r="I91"/>
  <c r="G91"/>
  <c r="K90"/>
  <c r="I90"/>
  <c r="G90"/>
  <c r="K89"/>
  <c r="I89"/>
  <c r="G89"/>
  <c r="K88"/>
  <c r="G88"/>
  <c r="I88" s="1"/>
  <c r="K87"/>
  <c r="I87"/>
  <c r="G87"/>
  <c r="K86"/>
  <c r="I86"/>
  <c r="G86"/>
  <c r="K85"/>
  <c r="I85"/>
  <c r="G85"/>
  <c r="K84"/>
  <c r="G84"/>
  <c r="I84" s="1"/>
  <c r="K83"/>
  <c r="I83"/>
  <c r="G83"/>
  <c r="K82"/>
  <c r="I82"/>
  <c r="G82"/>
  <c r="K81"/>
  <c r="I81"/>
  <c r="G81"/>
  <c r="K80"/>
  <c r="G80"/>
  <c r="I80" s="1"/>
  <c r="K79"/>
  <c r="I79"/>
  <c r="G79"/>
  <c r="K78"/>
  <c r="I78"/>
  <c r="G78"/>
  <c r="K77"/>
  <c r="I77"/>
  <c r="G77"/>
  <c r="K76"/>
  <c r="G76"/>
  <c r="I76" s="1"/>
  <c r="K75"/>
  <c r="I75"/>
  <c r="G75"/>
  <c r="K74"/>
  <c r="I74"/>
  <c r="G74"/>
  <c r="K72"/>
  <c r="I72"/>
  <c r="G72"/>
  <c r="K71"/>
  <c r="G71"/>
  <c r="I71" s="1"/>
  <c r="K69"/>
  <c r="I69"/>
  <c r="G69"/>
  <c r="K68"/>
  <c r="I68"/>
  <c r="G68"/>
  <c r="K67"/>
  <c r="I67"/>
  <c r="G67"/>
  <c r="K66"/>
  <c r="G66"/>
  <c r="I66" s="1"/>
  <c r="K65"/>
  <c r="I65"/>
  <c r="G65"/>
  <c r="K64"/>
  <c r="I64"/>
  <c r="G64"/>
  <c r="K63"/>
  <c r="I63"/>
  <c r="G63"/>
  <c r="K62"/>
  <c r="G62"/>
  <c r="I62" s="1"/>
  <c r="K61"/>
  <c r="I61"/>
  <c r="G61"/>
  <c r="K60"/>
  <c r="I60"/>
  <c r="G60"/>
  <c r="K59"/>
  <c r="I59"/>
  <c r="G59"/>
  <c r="K58"/>
  <c r="G58"/>
  <c r="I58" s="1"/>
  <c r="K57"/>
  <c r="I57"/>
  <c r="G57"/>
  <c r="K56"/>
  <c r="I56"/>
  <c r="G56"/>
  <c r="K55"/>
  <c r="I55"/>
  <c r="G55"/>
  <c r="K54"/>
  <c r="G54"/>
  <c r="I54" s="1"/>
  <c r="K53"/>
  <c r="I53"/>
  <c r="G53"/>
  <c r="K52"/>
  <c r="I52"/>
  <c r="G52"/>
  <c r="K51"/>
  <c r="I51"/>
  <c r="G51"/>
  <c r="K50"/>
  <c r="G50"/>
  <c r="I50" s="1"/>
  <c r="K49"/>
  <c r="I49"/>
  <c r="G49"/>
  <c r="K48"/>
  <c r="I48"/>
  <c r="G48"/>
  <c r="K47"/>
  <c r="I47"/>
  <c r="G47"/>
  <c r="K46"/>
  <c r="G46"/>
  <c r="I46" s="1"/>
  <c r="K45"/>
  <c r="I45"/>
  <c r="G45"/>
  <c r="K44"/>
  <c r="I44"/>
  <c r="G44"/>
  <c r="K43"/>
  <c r="I43"/>
  <c r="G43"/>
  <c r="K42"/>
  <c r="G42"/>
  <c r="I42" s="1"/>
  <c r="K41"/>
  <c r="I41"/>
  <c r="G41"/>
  <c r="K40"/>
  <c r="I40"/>
  <c r="G40"/>
  <c r="K39"/>
  <c r="I39"/>
  <c r="G39"/>
  <c r="K38"/>
  <c r="G38"/>
  <c r="I38" s="1"/>
  <c r="K37"/>
  <c r="I37"/>
  <c r="G37"/>
  <c r="K36"/>
  <c r="I36"/>
  <c r="G36"/>
  <c r="K35"/>
  <c r="I35"/>
  <c r="G35"/>
  <c r="K34"/>
  <c r="G34"/>
  <c r="I34" s="1"/>
  <c r="K33"/>
  <c r="I33"/>
  <c r="G33"/>
  <c r="K32"/>
  <c r="I32"/>
  <c r="G32"/>
  <c r="K31"/>
  <c r="I31"/>
  <c r="G31"/>
  <c r="K30"/>
  <c r="G30"/>
  <c r="I30" s="1"/>
  <c r="K29"/>
  <c r="I29"/>
  <c r="G29"/>
  <c r="K28"/>
  <c r="I28"/>
  <c r="G28"/>
  <c r="K27"/>
  <c r="I27"/>
  <c r="G27"/>
  <c r="K26"/>
  <c r="G26"/>
  <c r="I26" s="1"/>
  <c r="K25"/>
  <c r="I25"/>
  <c r="G25"/>
  <c r="K24"/>
  <c r="I24"/>
  <c r="G24"/>
  <c r="K23"/>
  <c r="I23"/>
  <c r="G23"/>
  <c r="K22"/>
  <c r="G22"/>
  <c r="I22" s="1"/>
  <c r="K21"/>
  <c r="I21"/>
  <c r="G21"/>
  <c r="K20"/>
  <c r="I20"/>
  <c r="G20"/>
  <c r="K19"/>
  <c r="I19"/>
  <c r="G19"/>
  <c r="K18"/>
  <c r="G18"/>
  <c r="I18" s="1"/>
  <c r="K17"/>
  <c r="I17"/>
  <c r="G17"/>
  <c r="K16"/>
  <c r="I16"/>
  <c r="G16"/>
  <c r="K15"/>
  <c r="I15"/>
  <c r="G15"/>
  <c r="K14"/>
  <c r="G14"/>
  <c r="I14" s="1"/>
  <c r="K13"/>
  <c r="I13"/>
  <c r="G13"/>
  <c r="K12"/>
  <c r="I12"/>
  <c r="G12"/>
  <c r="K11"/>
  <c r="I11"/>
  <c r="G11"/>
  <c r="K10"/>
  <c r="G10"/>
  <c r="I10" s="1"/>
  <c r="K9"/>
  <c r="I9"/>
  <c r="G9"/>
  <c r="K8"/>
  <c r="I8"/>
  <c r="G8"/>
  <c r="K7"/>
  <c r="I7"/>
  <c r="G7"/>
  <c r="F49" i="4"/>
  <c r="H5"/>
  <c r="H8"/>
  <c r="H9"/>
  <c r="H10"/>
  <c r="H11"/>
  <c r="H32"/>
  <c r="H33"/>
  <c r="H34"/>
  <c r="H36"/>
  <c r="H38"/>
  <c r="H39"/>
  <c r="H42"/>
  <c r="H43"/>
  <c r="H45"/>
  <c r="H49"/>
  <c r="H50"/>
  <c r="H59"/>
  <c r="H63"/>
  <c r="H67"/>
  <c r="F5"/>
  <c r="F6"/>
  <c r="H6" s="1"/>
  <c r="F7"/>
  <c r="H7" s="1"/>
  <c r="F8"/>
  <c r="F9"/>
  <c r="F10"/>
  <c r="F11"/>
  <c r="F12"/>
  <c r="H12" s="1"/>
  <c r="F13"/>
  <c r="H13" s="1"/>
  <c r="F14"/>
  <c r="H14" s="1"/>
  <c r="F15"/>
  <c r="H15" s="1"/>
  <c r="F16"/>
  <c r="H16" s="1"/>
  <c r="F17"/>
  <c r="H17" s="1"/>
  <c r="F18"/>
  <c r="H18" s="1"/>
  <c r="F19"/>
  <c r="H19" s="1"/>
  <c r="F20"/>
  <c r="H20" s="1"/>
  <c r="F21"/>
  <c r="H21" s="1"/>
  <c r="F22"/>
  <c r="H22" s="1"/>
  <c r="F23"/>
  <c r="H23" s="1"/>
  <c r="F24"/>
  <c r="H24" s="1"/>
  <c r="F25"/>
  <c r="H25" s="1"/>
  <c r="F26"/>
  <c r="H26" s="1"/>
  <c r="F27"/>
  <c r="H27" s="1"/>
  <c r="F28"/>
  <c r="H28" s="1"/>
  <c r="F29"/>
  <c r="H29" s="1"/>
  <c r="F30"/>
  <c r="H30" s="1"/>
  <c r="F31"/>
  <c r="H31" s="1"/>
  <c r="F32"/>
  <c r="F33"/>
  <c r="F34"/>
  <c r="F35"/>
  <c r="H35" s="1"/>
  <c r="F36"/>
  <c r="F37"/>
  <c r="H37" s="1"/>
  <c r="F38"/>
  <c r="F39"/>
  <c r="F40"/>
  <c r="H40" s="1"/>
  <c r="F41"/>
  <c r="H41" s="1"/>
  <c r="F42"/>
  <c r="F43"/>
  <c r="F44"/>
  <c r="H44" s="1"/>
  <c r="F45"/>
  <c r="F46"/>
  <c r="H46" s="1"/>
  <c r="F47"/>
  <c r="H47" s="1"/>
  <c r="F48"/>
  <c r="H48" s="1"/>
  <c r="F50"/>
  <c r="F51"/>
  <c r="H51" s="1"/>
  <c r="F52"/>
  <c r="H52" s="1"/>
  <c r="F53"/>
  <c r="H53" s="1"/>
  <c r="F54"/>
  <c r="H54" s="1"/>
  <c r="F55"/>
  <c r="H55" s="1"/>
  <c r="F56"/>
  <c r="H56" s="1"/>
  <c r="F57"/>
  <c r="H57" s="1"/>
  <c r="F58"/>
  <c r="H58" s="1"/>
  <c r="F59"/>
  <c r="F60"/>
  <c r="H60" s="1"/>
  <c r="F61"/>
  <c r="H61" s="1"/>
  <c r="F62"/>
  <c r="H62" s="1"/>
  <c r="F63"/>
  <c r="F64"/>
  <c r="H64" s="1"/>
  <c r="F65"/>
  <c r="H65" s="1"/>
  <c r="F66"/>
  <c r="H66" s="1"/>
  <c r="F67"/>
  <c r="F4"/>
  <c r="H4" s="1"/>
  <c r="J45" i="3"/>
  <c r="J46"/>
  <c r="J47"/>
  <c r="J48"/>
  <c r="J49"/>
  <c r="J50"/>
  <c r="J51"/>
  <c r="J52"/>
  <c r="J53"/>
  <c r="J44"/>
  <c r="J42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13"/>
  <c r="E59"/>
  <c r="H58"/>
  <c r="F58"/>
  <c r="H57"/>
  <c r="F57"/>
  <c r="F56"/>
  <c r="H56" s="1"/>
  <c r="H55"/>
  <c r="F55"/>
  <c r="E54"/>
  <c r="H53"/>
  <c r="F53"/>
  <c r="F52"/>
  <c r="H52" s="1"/>
  <c r="H51"/>
  <c r="F51"/>
  <c r="F50"/>
  <c r="H50" s="1"/>
  <c r="H49"/>
  <c r="F49"/>
  <c r="F48"/>
  <c r="H48" s="1"/>
  <c r="H47"/>
  <c r="F47"/>
  <c r="H46"/>
  <c r="F46"/>
  <c r="H45"/>
  <c r="F45"/>
  <c r="F44"/>
  <c r="H44" s="1"/>
  <c r="E43"/>
  <c r="E60" s="1"/>
  <c r="H42"/>
  <c r="F42"/>
  <c r="H41"/>
  <c r="F41"/>
  <c r="F40"/>
  <c r="H40" s="1"/>
  <c r="H39"/>
  <c r="F39"/>
  <c r="H38"/>
  <c r="F38"/>
  <c r="H37"/>
  <c r="F37"/>
  <c r="F36"/>
  <c r="H36" s="1"/>
  <c r="H35"/>
  <c r="F35"/>
  <c r="H34"/>
  <c r="F34"/>
  <c r="H33"/>
  <c r="F33"/>
  <c r="F32"/>
  <c r="H32" s="1"/>
  <c r="H31"/>
  <c r="F31"/>
  <c r="H30"/>
  <c r="F30"/>
  <c r="H29"/>
  <c r="F29"/>
  <c r="F28"/>
  <c r="H28" s="1"/>
  <c r="H27"/>
  <c r="F27"/>
  <c r="H26"/>
  <c r="F26"/>
  <c r="H25"/>
  <c r="F25"/>
  <c r="F24"/>
  <c r="H24" s="1"/>
  <c r="H23"/>
  <c r="F23"/>
  <c r="H22"/>
  <c r="F22"/>
  <c r="H21"/>
  <c r="F21"/>
  <c r="F20"/>
  <c r="H20" s="1"/>
  <c r="H19"/>
  <c r="F19"/>
  <c r="H18"/>
  <c r="F18"/>
  <c r="H17"/>
  <c r="F17"/>
  <c r="F16"/>
  <c r="H16" s="1"/>
  <c r="H15"/>
  <c r="F15"/>
  <c r="H14"/>
  <c r="F14"/>
  <c r="H13"/>
  <c r="F13"/>
  <c r="D2"/>
  <c r="E59" i="2"/>
  <c r="E54"/>
  <c r="E43"/>
  <c r="E60" s="1"/>
  <c r="D2"/>
  <c r="F13"/>
  <c r="H13" s="1"/>
  <c r="F14"/>
  <c r="H14" s="1"/>
  <c r="H59" i="3" l="1"/>
  <c r="H43"/>
  <c r="H54"/>
  <c r="F58" i="2"/>
  <c r="H58" s="1"/>
  <c r="F57"/>
  <c r="H57" s="1"/>
  <c r="F56"/>
  <c r="H56" s="1"/>
  <c r="F55"/>
  <c r="H55" s="1"/>
  <c r="F53"/>
  <c r="H53" s="1"/>
  <c r="F52"/>
  <c r="H52" s="1"/>
  <c r="F51"/>
  <c r="H51" s="1"/>
  <c r="F50"/>
  <c r="H50" s="1"/>
  <c r="F49"/>
  <c r="H49" s="1"/>
  <c r="F48"/>
  <c r="H48" s="1"/>
  <c r="F47"/>
  <c r="H47" s="1"/>
  <c r="F46"/>
  <c r="H46" s="1"/>
  <c r="F45"/>
  <c r="H45" s="1"/>
  <c r="F44"/>
  <c r="H44" s="1"/>
  <c r="F42"/>
  <c r="H42" s="1"/>
  <c r="F41"/>
  <c r="H41" s="1"/>
  <c r="F40"/>
  <c r="H40" s="1"/>
  <c r="F39"/>
  <c r="H39" s="1"/>
  <c r="F38"/>
  <c r="H38" s="1"/>
  <c r="F37"/>
  <c r="H37" s="1"/>
  <c r="F36"/>
  <c r="H36" s="1"/>
  <c r="F35"/>
  <c r="H35" s="1"/>
  <c r="F34"/>
  <c r="H34" s="1"/>
  <c r="F33"/>
  <c r="H33" s="1"/>
  <c r="F32"/>
  <c r="H32" s="1"/>
  <c r="F31"/>
  <c r="H31" s="1"/>
  <c r="F30"/>
  <c r="H30" s="1"/>
  <c r="F29"/>
  <c r="H29" s="1"/>
  <c r="F28"/>
  <c r="H28" s="1"/>
  <c r="F27"/>
  <c r="H27" s="1"/>
  <c r="F26"/>
  <c r="H26" s="1"/>
  <c r="F25"/>
  <c r="H25" s="1"/>
  <c r="F24"/>
  <c r="H24" s="1"/>
  <c r="F23"/>
  <c r="H23" s="1"/>
  <c r="F22"/>
  <c r="H22" s="1"/>
  <c r="F21"/>
  <c r="H21" s="1"/>
  <c r="F20"/>
  <c r="H20" s="1"/>
  <c r="F19"/>
  <c r="H19" s="1"/>
  <c r="F18"/>
  <c r="H18" s="1"/>
  <c r="F17"/>
  <c r="H17" s="1"/>
  <c r="F16"/>
  <c r="H16" s="1"/>
  <c r="F15"/>
  <c r="H15" s="1"/>
  <c r="K108" i="1"/>
  <c r="K102"/>
  <c r="K101"/>
  <c r="K100"/>
  <c r="K95"/>
  <c r="K93"/>
  <c r="K92"/>
  <c r="K91"/>
  <c r="K87"/>
  <c r="K85"/>
  <c r="K84"/>
  <c r="K83"/>
  <c r="K79"/>
  <c r="K77"/>
  <c r="K76"/>
  <c r="K75"/>
  <c r="K74"/>
  <c r="K69"/>
  <c r="K67"/>
  <c r="K66"/>
  <c r="K65"/>
  <c r="K59"/>
  <c r="K58"/>
  <c r="K57"/>
  <c r="K53"/>
  <c r="K51"/>
  <c r="K50"/>
  <c r="K49"/>
  <c r="K45"/>
  <c r="K43"/>
  <c r="K42"/>
  <c r="K41"/>
  <c r="K37"/>
  <c r="K35"/>
  <c r="K34"/>
  <c r="K33"/>
  <c r="K29"/>
  <c r="K27"/>
  <c r="K26"/>
  <c r="K25"/>
  <c r="K21"/>
  <c r="K19"/>
  <c r="K18"/>
  <c r="K17"/>
  <c r="K13"/>
  <c r="K11"/>
  <c r="K10"/>
  <c r="K9"/>
  <c r="K106"/>
  <c r="K107"/>
  <c r="K109"/>
  <c r="K110"/>
  <c r="K105"/>
  <c r="K78"/>
  <c r="K80"/>
  <c r="K81"/>
  <c r="K82"/>
  <c r="K86"/>
  <c r="K88"/>
  <c r="K89"/>
  <c r="K90"/>
  <c r="K94"/>
  <c r="K96"/>
  <c r="K97"/>
  <c r="K99"/>
  <c r="K103"/>
  <c r="K72"/>
  <c r="K71"/>
  <c r="K8"/>
  <c r="K12"/>
  <c r="K14"/>
  <c r="K15"/>
  <c r="K16"/>
  <c r="K20"/>
  <c r="K22"/>
  <c r="K23"/>
  <c r="K24"/>
  <c r="K28"/>
  <c r="K30"/>
  <c r="K31"/>
  <c r="K32"/>
  <c r="K36"/>
  <c r="K38"/>
  <c r="K39"/>
  <c r="K40"/>
  <c r="K44"/>
  <c r="K46"/>
  <c r="K47"/>
  <c r="K48"/>
  <c r="K52"/>
  <c r="K54"/>
  <c r="K55"/>
  <c r="K56"/>
  <c r="K60"/>
  <c r="K62"/>
  <c r="K63"/>
  <c r="K64"/>
  <c r="K68"/>
  <c r="K7"/>
  <c r="G110"/>
  <c r="I110" s="1"/>
  <c r="G109"/>
  <c r="G108"/>
  <c r="G107"/>
  <c r="I107" s="1"/>
  <c r="G106"/>
  <c r="I106" s="1"/>
  <c r="G105"/>
  <c r="I105" s="1"/>
  <c r="G103"/>
  <c r="I103" s="1"/>
  <c r="G102"/>
  <c r="I102" s="1"/>
  <c r="G101"/>
  <c r="I101" s="1"/>
  <c r="G100"/>
  <c r="G99"/>
  <c r="G97"/>
  <c r="I97" s="1"/>
  <c r="G96"/>
  <c r="I96" s="1"/>
  <c r="G95"/>
  <c r="I95" s="1"/>
  <c r="G94"/>
  <c r="I94" s="1"/>
  <c r="G93"/>
  <c r="G92"/>
  <c r="G91"/>
  <c r="G90"/>
  <c r="I90" s="1"/>
  <c r="G89"/>
  <c r="I89" s="1"/>
  <c r="G88"/>
  <c r="I88" s="1"/>
  <c r="G87"/>
  <c r="G86"/>
  <c r="I86" s="1"/>
  <c r="G85"/>
  <c r="G84"/>
  <c r="G83"/>
  <c r="G82"/>
  <c r="I82" s="1"/>
  <c r="G81"/>
  <c r="I81" s="1"/>
  <c r="G80"/>
  <c r="I80" s="1"/>
  <c r="G79"/>
  <c r="I79" s="1"/>
  <c r="G78"/>
  <c r="I78" s="1"/>
  <c r="G77"/>
  <c r="I77" s="1"/>
  <c r="G76"/>
  <c r="I76" s="1"/>
  <c r="G75"/>
  <c r="G74"/>
  <c r="G72"/>
  <c r="I72" s="1"/>
  <c r="G71"/>
  <c r="I71" s="1"/>
  <c r="G69"/>
  <c r="I69" s="1"/>
  <c r="G68"/>
  <c r="I68" s="1"/>
  <c r="G67"/>
  <c r="G66"/>
  <c r="G65"/>
  <c r="G64"/>
  <c r="I64" s="1"/>
  <c r="G63"/>
  <c r="I63" s="1"/>
  <c r="G62"/>
  <c r="I62" s="1"/>
  <c r="G61"/>
  <c r="I61" s="1"/>
  <c r="G60"/>
  <c r="I60" s="1"/>
  <c r="G59"/>
  <c r="G58"/>
  <c r="I58" s="1"/>
  <c r="G57"/>
  <c r="I57" s="1"/>
  <c r="G56"/>
  <c r="G55"/>
  <c r="I55" s="1"/>
  <c r="G54"/>
  <c r="I54" s="1"/>
  <c r="G53"/>
  <c r="I53" s="1"/>
  <c r="G52"/>
  <c r="I52" s="1"/>
  <c r="G51"/>
  <c r="G50"/>
  <c r="I50" s="1"/>
  <c r="G49"/>
  <c r="G48"/>
  <c r="I48" s="1"/>
  <c r="G47"/>
  <c r="I47" s="1"/>
  <c r="G46"/>
  <c r="I46" s="1"/>
  <c r="G45"/>
  <c r="I45" s="1"/>
  <c r="G44"/>
  <c r="I44" s="1"/>
  <c r="G43"/>
  <c r="G42"/>
  <c r="I42" s="1"/>
  <c r="G41"/>
  <c r="I41" s="1"/>
  <c r="G40"/>
  <c r="G39"/>
  <c r="I39" s="1"/>
  <c r="G38"/>
  <c r="I38" s="1"/>
  <c r="G37"/>
  <c r="I37" s="1"/>
  <c r="G36"/>
  <c r="I36" s="1"/>
  <c r="G35"/>
  <c r="G34"/>
  <c r="I34" s="1"/>
  <c r="G33"/>
  <c r="G32"/>
  <c r="I32" s="1"/>
  <c r="G31"/>
  <c r="I31" s="1"/>
  <c r="G30"/>
  <c r="I30" s="1"/>
  <c r="G29"/>
  <c r="I29" s="1"/>
  <c r="G28"/>
  <c r="I28" s="1"/>
  <c r="G27"/>
  <c r="G26"/>
  <c r="I26" s="1"/>
  <c r="G25"/>
  <c r="I25" s="1"/>
  <c r="G24"/>
  <c r="G23"/>
  <c r="I23" s="1"/>
  <c r="G22"/>
  <c r="I22" s="1"/>
  <c r="G21"/>
  <c r="I21" s="1"/>
  <c r="G20"/>
  <c r="I20" s="1"/>
  <c r="G19"/>
  <c r="G18"/>
  <c r="I18" s="1"/>
  <c r="G17"/>
  <c r="G16"/>
  <c r="I16" s="1"/>
  <c r="G15"/>
  <c r="I15" s="1"/>
  <c r="G14"/>
  <c r="I14" s="1"/>
  <c r="G13"/>
  <c r="I13" s="1"/>
  <c r="G12"/>
  <c r="I12" s="1"/>
  <c r="G11"/>
  <c r="G10"/>
  <c r="I10" s="1"/>
  <c r="G9"/>
  <c r="I9" s="1"/>
  <c r="G8"/>
  <c r="G7"/>
  <c r="I7" s="1"/>
  <c r="H60" i="3" l="1"/>
  <c r="H59" i="2"/>
  <c r="H54"/>
  <c r="H43"/>
  <c r="I11" i="1"/>
  <c r="I27"/>
  <c r="I43"/>
  <c r="I59"/>
  <c r="I84"/>
  <c r="I91"/>
  <c r="K61"/>
  <c r="I17"/>
  <c r="I33"/>
  <c r="I49"/>
  <c r="I65"/>
  <c r="I85"/>
  <c r="I99"/>
  <c r="I92"/>
  <c r="I100"/>
  <c r="I8"/>
  <c r="I24"/>
  <c r="I40"/>
  <c r="I56"/>
  <c r="I66"/>
  <c r="I74"/>
  <c r="I87"/>
  <c r="I93"/>
  <c r="I108"/>
  <c r="I19"/>
  <c r="I35"/>
  <c r="I51"/>
  <c r="I67"/>
  <c r="I75"/>
  <c r="I109"/>
  <c r="I83"/>
  <c r="H60" i="2" l="1"/>
</calcChain>
</file>

<file path=xl/sharedStrings.xml><?xml version="1.0" encoding="utf-8"?>
<sst xmlns="http://schemas.openxmlformats.org/spreadsheetml/2006/main" count="1982" uniqueCount="382">
  <si>
    <t>Catalogue Amiratex PR</t>
  </si>
  <si>
    <t xml:space="preserve">CODE </t>
  </si>
  <si>
    <r>
      <t>REFERE</t>
    </r>
    <r>
      <rPr>
        <b/>
        <sz val="11"/>
        <color rgb="FF353638"/>
        <rFont val="Times New Roman"/>
        <family val="1"/>
      </rPr>
      <t>N</t>
    </r>
    <r>
      <rPr>
        <b/>
        <sz val="11"/>
        <color rgb="FF0E0E10"/>
        <rFont val="Times New Roman"/>
        <family val="1"/>
      </rPr>
      <t xml:space="preserve">CE </t>
    </r>
  </si>
  <si>
    <r>
      <t>DESCRITIO</t>
    </r>
    <r>
      <rPr>
        <b/>
        <sz val="11"/>
        <color rgb="FF353638"/>
        <rFont val="Times New Roman"/>
        <family val="1"/>
      </rPr>
      <t xml:space="preserve">N </t>
    </r>
  </si>
  <si>
    <t>poids par balle</t>
  </si>
  <si>
    <t>nbre de balles</t>
  </si>
  <si>
    <t xml:space="preserve">POIDS TOTAL </t>
  </si>
  <si>
    <t>PRIX</t>
  </si>
  <si>
    <r>
      <t>TOT</t>
    </r>
    <r>
      <rPr>
        <b/>
        <sz val="11"/>
        <color rgb="FF353638"/>
        <rFont val="Times New Roman"/>
        <family val="1"/>
      </rPr>
      <t>A</t>
    </r>
    <r>
      <rPr>
        <b/>
        <sz val="11"/>
        <color rgb="FF0E0E10"/>
        <rFont val="Times New Roman"/>
        <family val="1"/>
      </rPr>
      <t xml:space="preserve">L </t>
    </r>
    <r>
      <rPr>
        <b/>
        <sz val="11"/>
        <color rgb="FF353638"/>
        <rFont val="Times New Roman"/>
        <family val="1"/>
      </rPr>
      <t xml:space="preserve"> </t>
    </r>
  </si>
  <si>
    <t>CREME + GRADE A ÉTÉ</t>
  </si>
  <si>
    <t xml:space="preserve">M.C.P </t>
  </si>
  <si>
    <t>Pantalon en coton pour homme</t>
  </si>
  <si>
    <t>M.I.P</t>
  </si>
  <si>
    <t>Pantalon Jeans Homme</t>
  </si>
  <si>
    <t xml:space="preserve">M.TR.P </t>
  </si>
  <si>
    <t>Pantalon Tergal Homme</t>
  </si>
  <si>
    <r>
      <t>L.M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P </t>
    </r>
  </si>
  <si>
    <t>Pantalon mixte femme</t>
  </si>
  <si>
    <t xml:space="preserve">VIZOON </t>
  </si>
  <si>
    <t>Vizoon + Femme + Enfants+ leggings</t>
  </si>
  <si>
    <t xml:space="preserve">B.M.P </t>
  </si>
  <si>
    <t>Pantalon Mixte Garçon</t>
  </si>
  <si>
    <t xml:space="preserve">CH.P </t>
  </si>
  <si>
    <t>Pantalons enfants</t>
  </si>
  <si>
    <t>T.T</t>
  </si>
  <si>
    <t>vêtements de travail</t>
  </si>
  <si>
    <t xml:space="preserve">C.C.R MIX </t>
  </si>
  <si>
    <t xml:space="preserve">Short et rummage enfants </t>
  </si>
  <si>
    <r>
      <t>N</t>
    </r>
    <r>
      <rPr>
        <b/>
        <sz val="14"/>
        <color rgb="FF1D1D20"/>
        <rFont val="Times New Roman"/>
        <family val="1"/>
      </rPr>
      <t>.</t>
    </r>
    <r>
      <rPr>
        <b/>
        <sz val="14"/>
        <color rgb="FF000002"/>
        <rFont val="Times New Roman"/>
        <family val="1"/>
      </rPr>
      <t xml:space="preserve">R </t>
    </r>
  </si>
  <si>
    <t xml:space="preserve"> Rummages  nylon</t>
  </si>
  <si>
    <t xml:space="preserve">MAYO </t>
  </si>
  <si>
    <t>Mayo</t>
  </si>
  <si>
    <t xml:space="preserve">U.W </t>
  </si>
  <si>
    <t>Sous-vêtements Femme</t>
  </si>
  <si>
    <t>U.W</t>
  </si>
  <si>
    <t>Sous-vêtements</t>
  </si>
  <si>
    <t xml:space="preserve">B.H </t>
  </si>
  <si>
    <t xml:space="preserve">brassière </t>
  </si>
  <si>
    <t xml:space="preserve">L.N.DR </t>
  </si>
  <si>
    <t>Robes de nuit pour femmes</t>
  </si>
  <si>
    <t xml:space="preserve">SKA </t>
  </si>
  <si>
    <t>Écharpes</t>
  </si>
  <si>
    <t xml:space="preserve">M.C.SH </t>
  </si>
  <si>
    <t>Chemises en coton pour hommes</t>
  </si>
  <si>
    <r>
      <rPr>
        <sz val="11"/>
        <color theme="1"/>
        <rFont val="Arial"/>
        <family val="2"/>
      </rPr>
      <t>L.S.BL</t>
    </r>
  </si>
  <si>
    <t>Chemisier en soie Femme</t>
  </si>
  <si>
    <r>
      <t>B.C</t>
    </r>
    <r>
      <rPr>
        <sz val="14"/>
        <color rgb="FF000002"/>
        <rFont val="Times New Roman"/>
        <family val="1"/>
      </rPr>
      <t>.</t>
    </r>
    <r>
      <rPr>
        <sz val="14"/>
        <color rgb="FF0B0B0E"/>
        <rFont val="Times New Roman"/>
        <family val="1"/>
      </rPr>
      <t xml:space="preserve">SH </t>
    </r>
  </si>
  <si>
    <t>Chemise Enfant</t>
  </si>
  <si>
    <r>
      <t>G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C.BL </t>
    </r>
  </si>
  <si>
    <t>Blouse en coton fille</t>
  </si>
  <si>
    <r>
      <t>B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>T</t>
    </r>
    <r>
      <rPr>
        <sz val="14"/>
        <color rgb="FF000002"/>
        <rFont val="Times New Roman"/>
        <family val="1"/>
      </rPr>
      <t>-</t>
    </r>
    <r>
      <rPr>
        <sz val="14"/>
        <color rgb="FF0A0A0C"/>
        <rFont val="Times New Roman"/>
        <family val="1"/>
      </rPr>
      <t xml:space="preserve">SHIRT </t>
    </r>
  </si>
  <si>
    <t>T-Shirt enfant</t>
  </si>
  <si>
    <t>BODY SWEAT</t>
  </si>
  <si>
    <t>Body Sweat</t>
  </si>
  <si>
    <r>
      <t xml:space="preserve">BODY </t>
    </r>
    <r>
      <rPr>
        <b/>
        <i/>
        <sz val="14"/>
        <color rgb="FF000002"/>
        <rFont val="Arial"/>
        <family val="2"/>
      </rPr>
      <t>S</t>
    </r>
    <r>
      <rPr>
        <b/>
        <i/>
        <sz val="14"/>
        <color rgb="FF000000"/>
        <rFont val="Arial"/>
        <family val="2"/>
      </rPr>
      <t>I</t>
    </r>
    <r>
      <rPr>
        <b/>
        <i/>
        <sz val="14"/>
        <color rgb="FF000002"/>
        <rFont val="Arial"/>
        <family val="2"/>
      </rPr>
      <t xml:space="preserve">S </t>
    </r>
  </si>
  <si>
    <t>Body À Manches Courtes</t>
  </si>
  <si>
    <t xml:space="preserve">T.S </t>
  </si>
  <si>
    <t>Jogging haut et bas</t>
  </si>
  <si>
    <t xml:space="preserve">CH.T.S </t>
  </si>
  <si>
    <t>Jogging enfant</t>
  </si>
  <si>
    <t xml:space="preserve">JOGGING </t>
  </si>
  <si>
    <t>Jogging</t>
  </si>
  <si>
    <t xml:space="preserve">L.O.SH </t>
  </si>
  <si>
    <t>Short Original Femme</t>
  </si>
  <si>
    <r>
      <t>B</t>
    </r>
    <r>
      <rPr>
        <b/>
        <sz val="14"/>
        <color rgb="FF1D1D20"/>
        <rFont val="Times New Roman"/>
        <family val="1"/>
      </rPr>
      <t>.</t>
    </r>
    <r>
      <rPr>
        <b/>
        <sz val="14"/>
        <color rgb="FF000002"/>
        <rFont val="Times New Roman"/>
        <family val="1"/>
      </rPr>
      <t xml:space="preserve">O.SH </t>
    </r>
  </si>
  <si>
    <t>Short Original Enfants</t>
  </si>
  <si>
    <r>
      <t>M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O.SH </t>
    </r>
  </si>
  <si>
    <t>Short Original Homme</t>
  </si>
  <si>
    <t>L.HAWA 1.P</t>
  </si>
  <si>
    <t xml:space="preserve">Pantalon Femme hawai </t>
  </si>
  <si>
    <r>
      <t>L.C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DR </t>
    </r>
  </si>
  <si>
    <t>Robe en coton pour femme</t>
  </si>
  <si>
    <r>
      <t>L</t>
    </r>
    <r>
      <rPr>
        <sz val="14"/>
        <color rgb="FF000002"/>
        <rFont val="Times New Roman"/>
        <family val="1"/>
      </rPr>
      <t>.</t>
    </r>
    <r>
      <rPr>
        <sz val="14"/>
        <color rgb="FF2C2C2E"/>
        <rFont val="Times New Roman"/>
        <family val="1"/>
      </rPr>
      <t>C.</t>
    </r>
    <r>
      <rPr>
        <sz val="14"/>
        <color rgb="FF0B0B0E"/>
        <rFont val="Times New Roman"/>
        <family val="1"/>
      </rPr>
      <t xml:space="preserve">SK </t>
    </r>
  </si>
  <si>
    <t>Jupe en coton femme</t>
  </si>
  <si>
    <r>
      <t>G.C.SK</t>
    </r>
    <r>
      <rPr>
        <b/>
        <sz val="14"/>
        <color rgb="FF000000"/>
        <rFont val="Times New Roman"/>
        <family val="1"/>
      </rPr>
      <t>+</t>
    </r>
    <r>
      <rPr>
        <b/>
        <sz val="14"/>
        <color rgb="FF000002"/>
        <rFont val="Times New Roman"/>
        <family val="1"/>
      </rPr>
      <t xml:space="preserve">DR </t>
    </r>
  </si>
  <si>
    <t>Jupes + robes en coton pour fille</t>
  </si>
  <si>
    <r>
      <t>H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>H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R </t>
    </r>
  </si>
  <si>
    <t>Rummages maison</t>
  </si>
  <si>
    <t>COVERLY</t>
  </si>
  <si>
    <t>Coverly</t>
  </si>
  <si>
    <t xml:space="preserve">BLA </t>
  </si>
  <si>
    <t>Couverture</t>
  </si>
  <si>
    <r>
      <t>L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C </t>
    </r>
  </si>
  <si>
    <t>Rideaux en dentelle</t>
  </si>
  <si>
    <t>TEXTILE</t>
  </si>
  <si>
    <t>Textile</t>
  </si>
  <si>
    <t>RIDO</t>
  </si>
  <si>
    <t>Rido</t>
  </si>
  <si>
    <t xml:space="preserve">CARPET </t>
  </si>
  <si>
    <t>Tapis</t>
  </si>
  <si>
    <r>
      <rPr>
        <sz val="11"/>
        <color theme="1"/>
        <rFont val="Aptos Narrow"/>
        <family val="2"/>
        <scheme val="minor"/>
      </rPr>
      <t>M.FASH[ON.J</t>
    </r>
  </si>
  <si>
    <t>Veste de mode homme</t>
  </si>
  <si>
    <r>
      <t>L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FASHION.J. </t>
    </r>
  </si>
  <si>
    <t>Veste de mode dame</t>
  </si>
  <si>
    <r>
      <t>L.H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B </t>
    </r>
  </si>
  <si>
    <t>Sacs À Main</t>
  </si>
  <si>
    <r>
      <t>T</t>
    </r>
    <r>
      <rPr>
        <sz val="11"/>
        <color rgb="FF131315"/>
        <rFont val="Aptos Narrow"/>
        <family val="1"/>
        <scheme val="minor"/>
      </rPr>
      <t>RIP</t>
    </r>
    <r>
      <rPr>
        <sz val="11"/>
        <color rgb="FF262628"/>
        <rFont val="Aptos Narrow"/>
        <family val="1"/>
        <scheme val="minor"/>
      </rPr>
      <t>BAG</t>
    </r>
  </si>
  <si>
    <t>Sacs de voyage (Big-Bag BLEU)</t>
  </si>
  <si>
    <t>BELT</t>
  </si>
  <si>
    <t>Ceintures</t>
  </si>
  <si>
    <t xml:space="preserve">SOCKS </t>
  </si>
  <si>
    <t xml:space="preserve">Chaussettes </t>
  </si>
  <si>
    <t xml:space="preserve">CAPS </t>
  </si>
  <si>
    <t>Casquettes</t>
  </si>
  <si>
    <r>
      <t>M.T</t>
    </r>
    <r>
      <rPr>
        <sz val="14"/>
        <color rgb="FF000002"/>
        <rFont val="Times New Roman"/>
        <family val="1"/>
      </rPr>
      <t>-</t>
    </r>
    <r>
      <rPr>
        <sz val="14"/>
        <color rgb="FF0A0A0C"/>
        <rFont val="Times New Roman"/>
        <family val="1"/>
      </rPr>
      <t xml:space="preserve">SHIRT </t>
    </r>
  </si>
  <si>
    <t>T-Shirt Homme</t>
  </si>
  <si>
    <r>
      <t>L.T-SH</t>
    </r>
    <r>
      <rPr>
        <b/>
        <sz val="14"/>
        <color rgb="FF1D1D20"/>
        <rFont val="Times New Roman"/>
        <family val="1"/>
      </rPr>
      <t>I</t>
    </r>
    <r>
      <rPr>
        <b/>
        <sz val="14"/>
        <color rgb="FF000002"/>
        <rFont val="Times New Roman"/>
        <family val="1"/>
      </rPr>
      <t xml:space="preserve">RT </t>
    </r>
  </si>
  <si>
    <t>T-shirts femme</t>
  </si>
  <si>
    <r>
      <rPr>
        <sz val="11"/>
        <color theme="1"/>
        <rFont val="Arial"/>
        <family val="2"/>
      </rPr>
      <t>BEBE</t>
    </r>
    <r>
      <rPr>
        <sz val="11"/>
        <color theme="1"/>
        <rFont val="Aptos Narrow"/>
        <family val="2"/>
        <scheme val="minor"/>
      </rPr>
      <t xml:space="preserve"> BLA</t>
    </r>
  </si>
  <si>
    <t>Couverture bébé</t>
  </si>
  <si>
    <r>
      <t>SP.T</t>
    </r>
    <r>
      <rPr>
        <sz val="14"/>
        <color rgb="FF000003"/>
        <rFont val="Times New Roman"/>
        <family val="1"/>
      </rPr>
      <t>-</t>
    </r>
    <r>
      <rPr>
        <sz val="14"/>
        <color rgb="FF0E0E10"/>
        <rFont val="Times New Roman"/>
        <family val="1"/>
      </rPr>
      <t xml:space="preserve">SHIRT </t>
    </r>
  </si>
  <si>
    <t>T-shirt sport</t>
  </si>
  <si>
    <t xml:space="preserve">SP.O.SH </t>
  </si>
  <si>
    <t>Short Sport Original</t>
  </si>
  <si>
    <r>
      <rPr>
        <b/>
        <sz val="11"/>
        <color theme="1"/>
        <rFont val="Aptos Narrow"/>
        <family val="2"/>
        <scheme val="minor"/>
      </rPr>
      <t>HANDKERCHIEFS</t>
    </r>
  </si>
  <si>
    <t>Mouchoirs</t>
  </si>
  <si>
    <t xml:space="preserve">WALLETS </t>
  </si>
  <si>
    <t>Portefeuilles</t>
  </si>
  <si>
    <t xml:space="preserve">L.POLY.DR </t>
  </si>
  <si>
    <t>Robe Poly femme</t>
  </si>
  <si>
    <r>
      <t>L.</t>
    </r>
    <r>
      <rPr>
        <sz val="14"/>
        <color rgb="FF0B0B0E"/>
        <rFont val="Times New Roman"/>
        <family val="1"/>
      </rPr>
      <t xml:space="preserve">POLY.BL </t>
    </r>
  </si>
  <si>
    <t>Chemisier Poly femme</t>
  </si>
  <si>
    <t xml:space="preserve">TANK TOP </t>
  </si>
  <si>
    <t>Débardeur</t>
  </si>
  <si>
    <r>
      <t>T</t>
    </r>
    <r>
      <rPr>
        <b/>
        <sz val="14"/>
        <color rgb="FF1D1D20"/>
        <rFont val="Times New Roman"/>
        <family val="1"/>
      </rPr>
      <t>A</t>
    </r>
    <r>
      <rPr>
        <b/>
        <sz val="14"/>
        <color rgb="FF000002"/>
        <rFont val="Times New Roman"/>
        <family val="1"/>
      </rPr>
      <t xml:space="preserve">NK TOP </t>
    </r>
  </si>
  <si>
    <r>
      <t>BOD</t>
    </r>
    <r>
      <rPr>
        <b/>
        <sz val="14"/>
        <color rgb="FF1D1D20"/>
        <rFont val="Times New Roman"/>
        <family val="1"/>
      </rPr>
      <t xml:space="preserve">Y </t>
    </r>
    <r>
      <rPr>
        <b/>
        <sz val="14"/>
        <color rgb="FF000002"/>
        <rFont val="Times New Roman"/>
        <family val="1"/>
      </rPr>
      <t xml:space="preserve">SUIT </t>
    </r>
  </si>
  <si>
    <t>Bodysuit</t>
  </si>
  <si>
    <t xml:space="preserve">CARGO PANTS </t>
  </si>
  <si>
    <t>5 Pantalons Pocket/ cargo</t>
  </si>
  <si>
    <t xml:space="preserve">PARTYDRESS </t>
  </si>
  <si>
    <t>Robes de soirée</t>
  </si>
  <si>
    <r>
      <t>L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C&amp;S.BL </t>
    </r>
  </si>
  <si>
    <t>Chemisier femme en coton et soie</t>
  </si>
  <si>
    <r>
      <t xml:space="preserve">SHOESN.o </t>
    </r>
    <r>
      <rPr>
        <sz val="14"/>
        <color rgb="FF0E0E10"/>
        <rFont val="Courier New"/>
        <family val="3"/>
      </rPr>
      <t xml:space="preserve">1 </t>
    </r>
  </si>
  <si>
    <t>Chaussures cat. 1</t>
  </si>
  <si>
    <t>CREME+ GRADE A  HIVER</t>
  </si>
  <si>
    <r>
      <t>WOOLC</t>
    </r>
    <r>
      <rPr>
        <sz val="14"/>
        <color rgb="FF2C2C2E"/>
        <rFont val="Times New Roman"/>
        <family val="1"/>
      </rPr>
      <t>A</t>
    </r>
    <r>
      <rPr>
        <sz val="14"/>
        <color rgb="FF0B0B0E"/>
        <rFont val="Times New Roman"/>
        <family val="1"/>
      </rPr>
      <t xml:space="preserve">PS </t>
    </r>
  </si>
  <si>
    <t>Casquettes en laine</t>
  </si>
  <si>
    <r>
      <t>M</t>
    </r>
    <r>
      <rPr>
        <sz val="14"/>
        <color rgb="FF0B0B0E"/>
        <rFont val="Times New Roman"/>
        <family val="1"/>
      </rPr>
      <t xml:space="preserve">.ZIP </t>
    </r>
  </si>
  <si>
    <t>Homme Fermeture Éclair</t>
  </si>
  <si>
    <t>GRADE B ÉTÉ</t>
  </si>
  <si>
    <t xml:space="preserve">M.J.P </t>
  </si>
  <si>
    <r>
      <t>M.T</t>
    </r>
    <r>
      <rPr>
        <sz val="11"/>
        <color rgb="FF131315"/>
        <rFont val="Aptos Narrow"/>
        <family val="1"/>
        <scheme val="minor"/>
      </rPr>
      <t>R</t>
    </r>
    <r>
      <rPr>
        <sz val="11"/>
        <color theme="1"/>
        <rFont val="Aptos Narrow"/>
        <family val="1"/>
        <scheme val="minor"/>
      </rPr>
      <t>.P</t>
    </r>
  </si>
  <si>
    <t>Pantalon Teregal Homme</t>
  </si>
  <si>
    <t xml:space="preserve">L.M.P </t>
  </si>
  <si>
    <t>Pantalon mixte dame</t>
  </si>
  <si>
    <r>
      <t>C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C.R </t>
    </r>
  </si>
  <si>
    <t xml:space="preserve">Rummages Bébé Coton </t>
  </si>
  <si>
    <r>
      <t>M.C</t>
    </r>
    <r>
      <rPr>
        <sz val="14"/>
        <color rgb="FF000003"/>
        <rFont val="Times New Roman"/>
        <family val="1"/>
      </rPr>
      <t>.</t>
    </r>
    <r>
      <rPr>
        <sz val="14"/>
        <color rgb="FF0E0E10"/>
        <rFont val="Times New Roman"/>
        <family val="1"/>
      </rPr>
      <t xml:space="preserve">SH </t>
    </r>
  </si>
  <si>
    <t>Chemises en coton hommes</t>
  </si>
  <si>
    <t>L.C. BL</t>
  </si>
  <si>
    <t>Blouse coton Femme</t>
  </si>
  <si>
    <t xml:space="preserve">POLO HOOD </t>
  </si>
  <si>
    <t>Polo à capuches</t>
  </si>
  <si>
    <t>B.POLO</t>
  </si>
  <si>
    <t>Polo Garçon</t>
  </si>
  <si>
    <r>
      <t>T</t>
    </r>
    <r>
      <rPr>
        <sz val="14"/>
        <color rgb="FF000003"/>
        <rFont val="Times New Roman"/>
        <family val="1"/>
      </rPr>
      <t>.</t>
    </r>
    <r>
      <rPr>
        <sz val="14"/>
        <color rgb="FF0E0E10"/>
        <rFont val="Times New Roman"/>
        <family val="1"/>
      </rPr>
      <t xml:space="preserve">S </t>
    </r>
  </si>
  <si>
    <r>
      <t>T</t>
    </r>
    <r>
      <rPr>
        <sz val="14"/>
        <color rgb="FF000003"/>
        <rFont val="Times New Roman"/>
        <family val="1"/>
      </rPr>
      <t>.</t>
    </r>
    <r>
      <rPr>
        <sz val="14"/>
        <color rgb="FF0E0E10"/>
        <rFont val="Times New Roman"/>
        <family val="1"/>
      </rPr>
      <t xml:space="preserve">S VELVET </t>
    </r>
  </si>
  <si>
    <t>Pantalon en velours</t>
  </si>
  <si>
    <r>
      <rPr>
        <sz val="11"/>
        <color theme="1"/>
        <rFont val="Aptos Narrow"/>
        <family val="2"/>
        <scheme val="minor"/>
      </rPr>
      <t>T-SHIRT</t>
    </r>
  </si>
  <si>
    <t>T-shirt</t>
  </si>
  <si>
    <t xml:space="preserve">O.SH </t>
  </si>
  <si>
    <t>Short original</t>
  </si>
  <si>
    <r>
      <t>B</t>
    </r>
    <r>
      <rPr>
        <sz val="14"/>
        <color rgb="FF000003"/>
        <rFont val="Times New Roman"/>
        <family val="1"/>
      </rPr>
      <t>.</t>
    </r>
    <r>
      <rPr>
        <sz val="14"/>
        <color rgb="FF0E0E10"/>
        <rFont val="Times New Roman"/>
        <family val="1"/>
      </rPr>
      <t>T</t>
    </r>
    <r>
      <rPr>
        <sz val="14"/>
        <color rgb="FF000003"/>
        <rFont val="Times New Roman"/>
        <family val="1"/>
      </rPr>
      <t>-</t>
    </r>
    <r>
      <rPr>
        <sz val="14"/>
        <color rgb="FF0E0E10"/>
        <rFont val="Times New Roman"/>
        <family val="1"/>
      </rPr>
      <t xml:space="preserve">SHIRT </t>
    </r>
  </si>
  <si>
    <t xml:space="preserve"> T-Shirt Garçon</t>
  </si>
  <si>
    <t xml:space="preserve">M.T-SHIRT </t>
  </si>
  <si>
    <r>
      <t>L</t>
    </r>
    <r>
      <rPr>
        <sz val="14"/>
        <color rgb="FF000003"/>
        <rFont val="Times New Roman"/>
        <family val="1"/>
      </rPr>
      <t>.</t>
    </r>
    <r>
      <rPr>
        <sz val="14"/>
        <color rgb="FF0E0E10"/>
        <rFont val="Times New Roman"/>
        <family val="1"/>
      </rPr>
      <t xml:space="preserve">T-SHIRT </t>
    </r>
  </si>
  <si>
    <t xml:space="preserve"> T-Shirt femme</t>
  </si>
  <si>
    <r>
      <t>L</t>
    </r>
    <r>
      <rPr>
        <sz val="14"/>
        <color rgb="FF000003"/>
        <rFont val="Times New Roman"/>
        <family val="1"/>
      </rPr>
      <t>.</t>
    </r>
    <r>
      <rPr>
        <sz val="14"/>
        <color rgb="FF0E0E10"/>
        <rFont val="Times New Roman"/>
        <family val="1"/>
      </rPr>
      <t xml:space="preserve">C.DR </t>
    </r>
  </si>
  <si>
    <t xml:space="preserve">L.C.SK </t>
  </si>
  <si>
    <t>Jupe en coton pour femme</t>
  </si>
  <si>
    <r>
      <t>H</t>
    </r>
    <r>
      <rPr>
        <sz val="14"/>
        <color rgb="FF000002"/>
        <rFont val="Times New Roman"/>
        <family val="1"/>
      </rPr>
      <t>.</t>
    </r>
    <r>
      <rPr>
        <sz val="14"/>
        <color rgb="FF0A0A0C"/>
        <rFont val="Times New Roman"/>
        <family val="1"/>
      </rPr>
      <t xml:space="preserve">H.R </t>
    </r>
  </si>
  <si>
    <r>
      <t>Cover</t>
    </r>
    <r>
      <rPr>
        <sz val="11"/>
        <color rgb="FF131315"/>
        <rFont val="Aptos Narrow"/>
        <family val="1"/>
        <scheme val="minor"/>
      </rPr>
      <t>l</t>
    </r>
    <r>
      <rPr>
        <sz val="11"/>
        <color theme="1"/>
        <rFont val="Aptos Narrow"/>
        <family val="1"/>
        <scheme val="minor"/>
      </rPr>
      <t>y</t>
    </r>
  </si>
  <si>
    <r>
      <t>L</t>
    </r>
    <r>
      <rPr>
        <sz val="14"/>
        <color rgb="FF000003"/>
        <rFont val="Times New Roman"/>
        <family val="1"/>
      </rPr>
      <t>.</t>
    </r>
    <r>
      <rPr>
        <sz val="14"/>
        <color rgb="FF0E0E10"/>
        <rFont val="Times New Roman"/>
        <family val="1"/>
      </rPr>
      <t xml:space="preserve">H.B </t>
    </r>
  </si>
  <si>
    <t xml:space="preserve"> Sacs À Main</t>
  </si>
  <si>
    <t xml:space="preserve">BEDCOVER </t>
  </si>
  <si>
    <t>Couvre-lit</t>
  </si>
  <si>
    <t>M.T-SHIRT</t>
  </si>
  <si>
    <t xml:space="preserve"> T-Shirt Homme</t>
  </si>
  <si>
    <t xml:space="preserve">SHOESN.o2 </t>
  </si>
  <si>
    <t>Chaussures cat. 2</t>
  </si>
  <si>
    <t>GRADE B HIVER</t>
  </si>
  <si>
    <r>
      <t>L.COR</t>
    </r>
    <r>
      <rPr>
        <sz val="11"/>
        <color rgb="FF131315"/>
        <rFont val="Aptos Narrow"/>
        <family val="1"/>
        <scheme val="minor"/>
      </rPr>
      <t>D</t>
    </r>
    <r>
      <rPr>
        <sz val="11"/>
        <color theme="1"/>
        <rFont val="Aptos Narrow"/>
        <family val="1"/>
        <scheme val="minor"/>
      </rPr>
      <t>EROY.P</t>
    </r>
  </si>
  <si>
    <t>Pantalon Lady Corderoy</t>
  </si>
  <si>
    <r>
      <t>C</t>
    </r>
    <r>
      <rPr>
        <sz val="14"/>
        <color rgb="FF000002"/>
        <rFont val="Times New Roman"/>
        <family val="1"/>
      </rPr>
      <t>.</t>
    </r>
    <r>
      <rPr>
        <sz val="14"/>
        <color rgb="FF0B0B0E"/>
        <rFont val="Times New Roman"/>
        <family val="1"/>
      </rPr>
      <t xml:space="preserve">M.R </t>
    </r>
  </si>
  <si>
    <t>Rummage Medium  Enfant</t>
  </si>
  <si>
    <t>B.B.W.</t>
  </si>
  <si>
    <t>Rummage bébé</t>
  </si>
  <si>
    <r>
      <t>C</t>
    </r>
    <r>
      <rPr>
        <sz val="14"/>
        <color rgb="FF0B0B0E"/>
        <rFont val="Times New Roman"/>
        <family val="1"/>
      </rPr>
      <t>.C</t>
    </r>
    <r>
      <rPr>
        <sz val="14"/>
        <color rgb="FF000002"/>
        <rFont val="Times New Roman"/>
        <family val="1"/>
      </rPr>
      <t>.</t>
    </r>
    <r>
      <rPr>
        <sz val="14"/>
        <color rgb="FF0B0B0E"/>
        <rFont val="Times New Roman"/>
        <family val="1"/>
      </rPr>
      <t xml:space="preserve">R MEDIUM </t>
    </r>
  </si>
  <si>
    <t>M.ZIP</t>
  </si>
  <si>
    <t>CHAUSSURES ET ACCESSOIRES</t>
  </si>
  <si>
    <t xml:space="preserve">PLASTIC SHOES </t>
  </si>
  <si>
    <t>Chaussures en plastique</t>
  </si>
  <si>
    <t xml:space="preserve">FOAMSHOES </t>
  </si>
  <si>
    <t>Chaussures en mousse</t>
  </si>
  <si>
    <t xml:space="preserve">TOYS </t>
  </si>
  <si>
    <t>Jouets</t>
  </si>
  <si>
    <t>BRIC &amp; BRAC</t>
  </si>
  <si>
    <t>Bric &amp; Brac</t>
  </si>
  <si>
    <r>
      <t>J</t>
    </r>
    <r>
      <rPr>
        <sz val="11"/>
        <color rgb="FF4B4B4D"/>
        <rFont val="Aptos Narrow"/>
        <family val="1"/>
        <scheme val="minor"/>
      </rPr>
      <t>E</t>
    </r>
    <r>
      <rPr>
        <sz val="11"/>
        <color theme="1"/>
        <rFont val="Aptos Narrow"/>
        <family val="1"/>
        <scheme val="minor"/>
      </rPr>
      <t>W</t>
    </r>
    <r>
      <rPr>
        <sz val="11"/>
        <color rgb="FF4B4B4D"/>
        <rFont val="Aptos Narrow"/>
        <family val="1"/>
        <scheme val="minor"/>
      </rPr>
      <t>ELLE</t>
    </r>
    <r>
      <rPr>
        <sz val="11"/>
        <color theme="1"/>
        <rFont val="Aptos Narrow"/>
        <family val="1"/>
        <scheme val="minor"/>
      </rPr>
      <t>RY</t>
    </r>
  </si>
  <si>
    <t>Bijoux</t>
  </si>
  <si>
    <t>SAFETYBOOTS</t>
  </si>
  <si>
    <t>Chaussures de sécurité</t>
  </si>
  <si>
    <t>Les prix indiqués sont indicatifs et peuvent varier légèrement</t>
  </si>
  <si>
    <t>ok</t>
  </si>
  <si>
    <t>Colonne1</t>
  </si>
  <si>
    <t xml:space="preserve">      Facture proforma N°</t>
  </si>
  <si>
    <t xml:space="preserve">  EURL FRIPERIE AMIRATEX</t>
  </si>
  <si>
    <t xml:space="preserve">  CHEMIN DE LA MOULINE</t>
  </si>
  <si>
    <t xml:space="preserve">  tél: +33 6 34 23 45 65</t>
  </si>
  <si>
    <t xml:space="preserve">  http://www-amiratex-france.com</t>
  </si>
  <si>
    <t xml:space="preserve">  Email: habib-frip@hotmail.fr</t>
  </si>
  <si>
    <t>Paiement par virement :</t>
  </si>
  <si>
    <t xml:space="preserve">  SIRET : 831 270 897 00018</t>
  </si>
  <si>
    <t xml:space="preserve">  N-TVA : FR 30 831270897</t>
  </si>
  <si>
    <t xml:space="preserve">  N° EORI : FR 831 270 897 000 18</t>
  </si>
  <si>
    <t xml:space="preserve">                    France </t>
  </si>
  <si>
    <t>SENEGAL</t>
  </si>
  <si>
    <t>SOUS TOTAL</t>
  </si>
  <si>
    <t>EXONERATION DE TVA EN APPLICATION DE L'ARTICLE 262 TER 1 DU CGI - MARCHANDISE DESTINEE A L'EXPORTATION</t>
  </si>
  <si>
    <t>DOMICILIATION BANCAIRE :</t>
  </si>
  <si>
    <t>SG BEZIERS VICTOIRE (03232)</t>
  </si>
  <si>
    <t xml:space="preserve">                                                    BIC - Adresse SWIFT : SOGEFRPP</t>
  </si>
  <si>
    <t>Bénéficiaire : Friperie Amiratex S.A.R.L</t>
  </si>
  <si>
    <t>IBAN : FR76 3000 3032 3200 0200 9579 815</t>
  </si>
  <si>
    <t xml:space="preserve">TOTAL </t>
  </si>
  <si>
    <t>catalogue avec + 10 cts</t>
  </si>
  <si>
    <t>PANTAKOR SHORTS</t>
  </si>
  <si>
    <t>pantacourt</t>
  </si>
  <si>
    <t>MINI DRESS</t>
  </si>
  <si>
    <t>Robe de fille</t>
  </si>
  <si>
    <t>MINI SKIRT</t>
  </si>
  <si>
    <t>Mini jupe</t>
  </si>
  <si>
    <t>WEDDING DRESS</t>
  </si>
  <si>
    <t>Robe de mariée</t>
  </si>
  <si>
    <t>HAND TOWEL</t>
  </si>
  <si>
    <t>Serviettes de toilette</t>
  </si>
  <si>
    <t>SCHOOL HANDBAGS</t>
  </si>
  <si>
    <t>Sacs d'écolier</t>
  </si>
  <si>
    <t>U.W.L</t>
  </si>
  <si>
    <t>U.W.M</t>
  </si>
  <si>
    <t>Sous-vêtements Homme</t>
  </si>
  <si>
    <r>
      <t>Pantalon en laine:</t>
    </r>
    <r>
      <rPr>
        <sz val="11"/>
        <color theme="1"/>
        <rFont val="Aptos Narrow"/>
        <family val="2"/>
        <scheme val="minor"/>
      </rPr>
      <t xml:space="preserve"> Wool pants</t>
    </r>
  </si>
  <si>
    <r>
      <t>Pull en laine:</t>
    </r>
    <r>
      <rPr>
        <sz val="11"/>
        <color theme="1"/>
        <rFont val="Aptos Narrow"/>
        <family val="2"/>
        <scheme val="minor"/>
      </rPr>
      <t xml:space="preserve"> Wool sweater</t>
    </r>
  </si>
  <si>
    <r>
      <t>Veste en jean:</t>
    </r>
    <r>
      <rPr>
        <sz val="11"/>
        <color theme="1"/>
        <rFont val="Aptos Narrow"/>
        <family val="2"/>
        <scheme val="minor"/>
      </rPr>
      <t xml:space="preserve"> Denim jacket</t>
    </r>
  </si>
  <si>
    <r>
      <t>Manteau d'hiver:</t>
    </r>
    <r>
      <rPr>
        <sz val="11"/>
        <color theme="1"/>
        <rFont val="Aptos Narrow"/>
        <family val="2"/>
        <scheme val="minor"/>
      </rPr>
      <t xml:space="preserve"> Winter coat</t>
    </r>
  </si>
  <si>
    <r>
      <t>Pantalon de ski:</t>
    </r>
    <r>
      <rPr>
        <sz val="11"/>
        <color theme="1"/>
        <rFont val="Aptos Narrow"/>
        <family val="2"/>
        <scheme val="minor"/>
      </rPr>
      <t xml:space="preserve"> Ski pants</t>
    </r>
  </si>
  <si>
    <r>
      <t>Chaussures de randonnée:</t>
    </r>
    <r>
      <rPr>
        <sz val="11"/>
        <color theme="1"/>
        <rFont val="Aptos Narrow"/>
        <family val="2"/>
        <scheme val="minor"/>
      </rPr>
      <t xml:space="preserve"> Hiking boots</t>
    </r>
  </si>
  <si>
    <t>Men's cotton pants</t>
  </si>
  <si>
    <t>Men's jeans pants</t>
  </si>
  <si>
    <t>Men's tergal pants</t>
  </si>
  <si>
    <t>Women's mixed pants</t>
  </si>
  <si>
    <t>Vizoon + Women + Children + leggings</t>
  </si>
  <si>
    <t>Boy's mixed pants</t>
  </si>
  <si>
    <t>Children's pants</t>
  </si>
  <si>
    <t>work clothes</t>
  </si>
  <si>
    <t>Children's shorts and rummage</t>
  </si>
  <si>
    <t>Nylon Rummages</t>
  </si>
  <si>
    <t>Women's underwear</t>
  </si>
  <si>
    <t>Underwear</t>
  </si>
  <si>
    <t>brassiere</t>
  </si>
  <si>
    <t>Women's nightgowns</t>
  </si>
  <si>
    <t>Scarves</t>
  </si>
  <si>
    <t>Men's cotton shirts</t>
  </si>
  <si>
    <t>Women's silk blouse</t>
  </si>
  <si>
    <t>Children's shirt</t>
  </si>
  <si>
    <t>Girl's cotton blouse</t>
  </si>
  <si>
    <t>Children's T-Shirt</t>
  </si>
  <si>
    <t>Short Sleeve Body</t>
  </si>
  <si>
    <t>Jogging top and bottom</t>
  </si>
  <si>
    <t>Children's jogging</t>
  </si>
  <si>
    <t>Original Women's shorts</t>
  </si>
  <si>
    <t>Original Children's shorts</t>
  </si>
  <si>
    <t>Original Men's shorts</t>
  </si>
  <si>
    <t>Women's hawai pants</t>
  </si>
  <si>
    <t>Women's cotton dress</t>
  </si>
  <si>
    <t>Women's cotton skirt</t>
  </si>
  <si>
    <t>Girl's cotton skirts + dresses</t>
  </si>
  <si>
    <t>Home Rummages</t>
  </si>
  <si>
    <t>Blanket</t>
  </si>
  <si>
    <t>Lace curtains</t>
  </si>
  <si>
    <t>Carpet</t>
  </si>
  <si>
    <t>Fashion jacket men</t>
  </si>
  <si>
    <t>Ladies' fashion jacket</t>
  </si>
  <si>
    <t>Handbags</t>
  </si>
  <si>
    <t>Travel bags (Blue Big-Bag)</t>
  </si>
  <si>
    <t>Belts</t>
  </si>
  <si>
    <t>Socks</t>
  </si>
  <si>
    <t>Caps</t>
  </si>
  <si>
    <t>Men's T-Shirt</t>
  </si>
  <si>
    <t>Women's T-shirts</t>
  </si>
  <si>
    <t>Baby blanket</t>
  </si>
  <si>
    <t>Sports T-shirt</t>
  </si>
  <si>
    <t>Original Sport Shorts</t>
  </si>
  <si>
    <t>Handkerchiefs</t>
  </si>
  <si>
    <t>Wallets</t>
  </si>
  <si>
    <t>Women's Poly Dress</t>
  </si>
  <si>
    <t>Women's Poly Blouse</t>
  </si>
  <si>
    <t>Tank Top</t>
  </si>
  <si>
    <t>5 Pocket/cargo Pants</t>
  </si>
  <si>
    <t>Evening dresses</t>
  </si>
  <si>
    <t>Women's cotton and silk blouse</t>
  </si>
  <si>
    <t>Shoes cat. 1</t>
  </si>
  <si>
    <t>CREAM+ GRADE A WINTER</t>
  </si>
  <si>
    <t>Wool caps</t>
  </si>
  <si>
    <t>Men Zipper</t>
  </si>
  <si>
    <t>GRADE B SUMMER</t>
  </si>
  <si>
    <t>Men's Jeans Trousers</t>
  </si>
  <si>
    <t>Men's Teregal Trousers</t>
  </si>
  <si>
    <t>Women's Mixed Trousers</t>
  </si>
  <si>
    <t>Rummages Baby Cotton</t>
  </si>
  <si>
    <t>Men's Cotton Shirts</t>
  </si>
  <si>
    <t>Women's Cotton Blouse</t>
  </si>
  <si>
    <t>Hooded Polo Shirt</t>
  </si>
  <si>
    <t>Boy's Polo Shirt</t>
  </si>
  <si>
    <t>Velvet Trousers</t>
  </si>
  <si>
    <t>Original Shorts</t>
  </si>
  <si>
    <t>Boy's T-Shirt</t>
  </si>
  <si>
    <t>Women's T-Shirt</t>
  </si>
  <si>
    <t>Women's Cotton Dress</t>
  </si>
  <si>
    <t>Women's Cotton Skirt</t>
  </si>
  <si>
    <t>Rummages Homemade</t>
  </si>
  <si>
    <t>Bedspread</t>
  </si>
  <si>
    <t>Shoes cat. 2</t>
  </si>
  <si>
    <t>GRADE B WINTER</t>
  </si>
  <si>
    <t>Lady Corderoy Trousers</t>
  </si>
  <si>
    <t>Rummage Medium Child</t>
  </si>
  <si>
    <t>Rummage Baby</t>
  </si>
  <si>
    <t>SHOES AND ACCESSORIES</t>
  </si>
  <si>
    <t>Plastic Shoes</t>
  </si>
  <si>
    <t>Foam Shoes</t>
  </si>
  <si>
    <t>Toys</t>
  </si>
  <si>
    <t>Jewelry</t>
  </si>
  <si>
    <t>Safety Shoes</t>
  </si>
  <si>
    <t>CREAM + SUMMER GRADE A</t>
  </si>
  <si>
    <t>CODE REFERENCE DESCRIPTION weight per ball number of balls TOTAL WEIGHT TOTAL PRICE</t>
  </si>
  <si>
    <t>NUMBER OF BALLS</t>
  </si>
  <si>
    <t xml:space="preserve"> TOTAL WEIGHT </t>
  </si>
  <si>
    <t>PRICE</t>
  </si>
  <si>
    <t>WEIGHT PER BALL( kg)</t>
  </si>
  <si>
    <t>Bonjour M.Sabir,</t>
  </si>
  <si>
    <t>J’espère que vous allez bien j’ai bien reçu votre catalogue et je tiens à vous remerciez  , après avoir bien réfléchir :</t>
  </si>
  <si>
    <t>5062 (Jupe +robe en coton pour fille )</t>
  </si>
  <si>
    <t>5052 (Short original enfant )</t>
  </si>
  <si>
    <t>5000 (Pantalon en coton pour homme )</t>
  </si>
  <si>
    <t>5002 (Pantalon Tergal homme )</t>
  </si>
  <si>
    <t>5020 (Chemises en coton pour hommes )</t>
  </si>
  <si>
    <t>5017 (Robe de nuit pour femmes )</t>
  </si>
  <si>
    <t>5025 (Chemise enfant )</t>
  </si>
  <si>
    <t>5090 (Sacs à main )</t>
  </si>
  <si>
    <t>5010 (Short et rummage enfants )</t>
  </si>
  <si>
    <t>5058 (Pantalon femme Hawaï )</t>
  </si>
  <si>
    <t>5096 (T-shirt homme )</t>
  </si>
  <si>
    <t>5097 (T-shirt Femme )</t>
  </si>
  <si>
    <t>337 (Polo Garçon )</t>
  </si>
  <si>
    <t>360 (Robe en coton pour femme )</t>
  </si>
  <si>
    <t>5118 (Robe de soirée )</t>
  </si>
  <si>
    <t>870 (Bijoux </t>
  </si>
  <si>
    <t>5007 (Pantalon mixte Garçon )</t>
  </si>
  <si>
    <t>5006 (Vizon +Femme + enfant +legging )</t>
  </si>
  <si>
    <t>5122 (Chemise femme coton et soie) </t>
  </si>
  <si>
    <t>303 (Pantalon mixte dame )</t>
  </si>
  <si>
    <t>5062</t>
  </si>
  <si>
    <t>5052</t>
  </si>
  <si>
    <t>5000</t>
  </si>
  <si>
    <t>5002</t>
  </si>
  <si>
    <t>5020</t>
  </si>
  <si>
    <t>5017</t>
  </si>
  <si>
    <t>5025</t>
  </si>
  <si>
    <t>5090</t>
  </si>
  <si>
    <t>5010</t>
  </si>
  <si>
    <t>5058</t>
  </si>
  <si>
    <t>5096</t>
  </si>
  <si>
    <t>5097</t>
  </si>
  <si>
    <t xml:space="preserve">337 </t>
  </si>
  <si>
    <t xml:space="preserve">360 </t>
  </si>
  <si>
    <t>5118</t>
  </si>
  <si>
    <t xml:space="preserve">870 </t>
  </si>
  <si>
    <t>5007</t>
  </si>
  <si>
    <t>5006</t>
  </si>
  <si>
    <t>5122</t>
  </si>
  <si>
    <t xml:space="preserve">303 </t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</si>
</sst>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164" formatCode="#,##0.00\ &quot;€&quot;"/>
    <numFmt numFmtId="165" formatCode="000000"/>
  </numFmts>
  <fonts count="5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5" tint="0.59999389629810485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0E0E10"/>
      <name val="Times New Roman"/>
      <family val="1"/>
    </font>
    <font>
      <b/>
      <sz val="11"/>
      <color rgb="FF353638"/>
      <name val="Times New Roman"/>
      <family val="1"/>
    </font>
    <font>
      <b/>
      <sz val="14"/>
      <color rgb="FF0E0E10"/>
      <name val="Times New Roman"/>
      <family val="1"/>
    </font>
    <font>
      <b/>
      <sz val="12"/>
      <color rgb="FF353638"/>
      <name val="Times New Roman"/>
      <family val="1"/>
    </font>
    <font>
      <b/>
      <sz val="12"/>
      <color rgb="FF0E0E10"/>
      <name val="Times New Roman"/>
      <family val="1"/>
    </font>
    <font>
      <b/>
      <sz val="18"/>
      <color rgb="FF0E0E10"/>
      <name val="Times New Roman"/>
      <family val="1"/>
    </font>
    <font>
      <sz val="14"/>
      <color rgb="FF000002"/>
      <name val="Courier New"/>
      <family val="3"/>
    </font>
    <font>
      <sz val="14"/>
      <color rgb="FF0A0A0C"/>
      <name val="Times New Roman"/>
      <family val="1"/>
    </font>
    <font>
      <sz val="14"/>
      <color theme="4" tint="-0.249977111117893"/>
      <name val="Arial Unicode MS"/>
      <family val="2"/>
    </font>
    <font>
      <sz val="12"/>
      <color rgb="FF000002"/>
      <name val="Times New Roman"/>
      <family val="1"/>
    </font>
    <font>
      <sz val="14"/>
      <color rgb="FF000003"/>
      <name val="Times New Roman"/>
      <family val="1"/>
    </font>
    <font>
      <sz val="14"/>
      <color rgb="FF0E0E10"/>
      <name val="Times New Roman"/>
      <family val="1"/>
    </font>
    <font>
      <sz val="14"/>
      <color rgb="FF0A0A0C"/>
      <name val="Courier New"/>
      <family val="3"/>
    </font>
    <font>
      <sz val="14"/>
      <color rgb="FF000002"/>
      <name val="Times New Roman"/>
      <family val="1"/>
    </font>
    <font>
      <b/>
      <sz val="12"/>
      <color rgb="FF000002"/>
      <name val="Courier New"/>
      <family val="3"/>
    </font>
    <font>
      <b/>
      <sz val="14"/>
      <color rgb="FF000002"/>
      <name val="Times New Roman"/>
      <family val="1"/>
    </font>
    <font>
      <b/>
      <sz val="14"/>
      <color rgb="FF1D1D20"/>
      <name val="Times New Roman"/>
      <family val="1"/>
    </font>
    <font>
      <sz val="14"/>
      <color rgb="FF0B0B0E"/>
      <name val="Times New Roman"/>
      <family val="1"/>
    </font>
    <font>
      <sz val="10"/>
      <name val="Verdana"/>
      <family val="2"/>
    </font>
    <font>
      <sz val="11"/>
      <color theme="1"/>
      <name val="Arial"/>
      <family val="2"/>
    </font>
    <font>
      <sz val="14"/>
      <color rgb="FF0070C0"/>
      <name val="Arial Unicode MS"/>
      <family val="2"/>
    </font>
    <font>
      <b/>
      <i/>
      <sz val="14"/>
      <color rgb="FF000002"/>
      <name val="Arial"/>
      <family val="2"/>
    </font>
    <font>
      <b/>
      <i/>
      <sz val="14"/>
      <color rgb="FF000000"/>
      <name val="Arial"/>
      <family val="2"/>
    </font>
    <font>
      <sz val="14"/>
      <color rgb="FF0E0E10"/>
      <name val="Courier New"/>
      <family val="3"/>
    </font>
    <font>
      <sz val="14"/>
      <color rgb="FF2C2C2E"/>
      <name val="Times New Roman"/>
      <family val="1"/>
    </font>
    <font>
      <b/>
      <sz val="14"/>
      <color rgb="FF000000"/>
      <name val="Times New Roman"/>
      <family val="1"/>
    </font>
    <font>
      <sz val="11"/>
      <color rgb="FF131315"/>
      <name val="Aptos Narrow"/>
      <family val="1"/>
      <scheme val="minor"/>
    </font>
    <font>
      <sz val="11"/>
      <color rgb="FF262628"/>
      <name val="Aptos Narrow"/>
      <family val="1"/>
      <scheme val="minor"/>
    </font>
    <font>
      <sz val="12"/>
      <color theme="4" tint="-0.249977111117893"/>
      <name val="Arial Unicode MS"/>
      <family val="2"/>
    </font>
    <font>
      <b/>
      <sz val="14"/>
      <color rgb="FF0A0A0C"/>
      <name val="Times New Roman"/>
      <family val="1"/>
    </font>
    <font>
      <sz val="11"/>
      <color theme="1"/>
      <name val="Aptos Narrow"/>
      <family val="1"/>
      <scheme val="minor"/>
    </font>
    <font>
      <sz val="14"/>
      <color rgb="FF0070C0"/>
      <name val="Aptos Narrow"/>
      <family val="1"/>
      <scheme val="minor"/>
    </font>
    <font>
      <sz val="11"/>
      <color rgb="FF4B4B4D"/>
      <name val="Aptos Narrow"/>
      <family val="1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name val="Californian FB"/>
      <family val="1"/>
    </font>
    <font>
      <b/>
      <sz val="14"/>
      <name val="Californian FB"/>
      <family val="1"/>
    </font>
    <font>
      <sz val="11"/>
      <name val="Arial Narrow"/>
      <family val="2"/>
    </font>
    <font>
      <b/>
      <sz val="14"/>
      <color theme="1"/>
      <name val="Aptos Narrow"/>
      <family val="2"/>
      <scheme val="minor"/>
    </font>
    <font>
      <b/>
      <sz val="11"/>
      <name val="Californian FB"/>
      <family val="1"/>
    </font>
    <font>
      <b/>
      <sz val="12"/>
      <name val="Californian FB"/>
      <family val="1"/>
    </font>
    <font>
      <sz val="9"/>
      <color theme="1"/>
      <name val="Aptos Narrow"/>
      <family val="2"/>
      <scheme val="minor"/>
    </font>
    <font>
      <sz val="14"/>
      <color theme="1"/>
      <name val="Californian FB"/>
      <family val="1"/>
    </font>
    <font>
      <b/>
      <u/>
      <sz val="12"/>
      <color theme="1"/>
      <name val="Californian FB"/>
      <family val="1"/>
    </font>
    <font>
      <b/>
      <sz val="12"/>
      <color theme="1"/>
      <name val="Californian FB"/>
      <family val="1"/>
    </font>
    <font>
      <sz val="11"/>
      <color theme="1"/>
      <name val="Californian FB"/>
      <family val="1"/>
    </font>
    <font>
      <b/>
      <sz val="24"/>
      <color theme="1"/>
      <name val="Aptos Narrow"/>
      <family val="2"/>
      <scheme val="minor"/>
    </font>
    <font>
      <b/>
      <sz val="14"/>
      <color rgb="FF353638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theme="1"/>
      <name val="Californian FB"/>
      <family val="1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E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theme="4" tint="0.39997558519241921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3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right" vertical="center" wrapText="1"/>
    </xf>
    <xf numFmtId="164" fontId="12" fillId="4" borderId="6" xfId="0" applyNumberFormat="1" applyFont="1" applyFill="1" applyBorder="1" applyAlignment="1">
      <alignment horizontal="center" vertical="center" wrapText="1"/>
    </xf>
    <xf numFmtId="8" fontId="16" fillId="6" borderId="7" xfId="0" applyNumberFormat="1" applyFont="1" applyFill="1" applyBorder="1" applyAlignment="1">
      <alignment horizontal="right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4" borderId="9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164" fontId="12" fillId="4" borderId="9" xfId="0" applyNumberFormat="1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64" fontId="18" fillId="4" borderId="9" xfId="0" applyNumberFormat="1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7" fillId="4" borderId="8" xfId="2" applyFont="1" applyFill="1" applyBorder="1" applyAlignment="1">
      <alignment horizontal="center" vertical="center" wrapText="1"/>
    </xf>
    <xf numFmtId="0" fontId="12" fillId="4" borderId="9" xfId="2" applyFont="1" applyFill="1" applyBorder="1" applyAlignment="1">
      <alignment horizontal="center" vertical="center" wrapText="1"/>
    </xf>
    <xf numFmtId="0" fontId="14" fillId="4" borderId="9" xfId="2" applyFont="1" applyFill="1" applyBorder="1" applyAlignment="1">
      <alignment horizontal="center" vertical="center" wrapText="1"/>
    </xf>
    <xf numFmtId="0" fontId="15" fillId="6" borderId="9" xfId="2" applyFont="1" applyFill="1" applyBorder="1" applyAlignment="1">
      <alignment horizontal="center" vertical="center" wrapText="1"/>
    </xf>
    <xf numFmtId="164" fontId="12" fillId="4" borderId="9" xfId="2" applyNumberFormat="1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center" vertical="center"/>
    </xf>
    <xf numFmtId="0" fontId="28" fillId="6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164" fontId="16" fillId="6" borderId="9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4" borderId="9" xfId="2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center" vertical="center" wrapText="1"/>
    </xf>
    <xf numFmtId="0" fontId="28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164" fontId="16" fillId="6" borderId="11" xfId="0" applyNumberFormat="1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164" fontId="12" fillId="4" borderId="13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3" fillId="5" borderId="0" xfId="0" applyFont="1" applyFill="1" applyAlignment="1">
      <alignment horizontal="center" vertical="center"/>
    </xf>
    <xf numFmtId="0" fontId="12" fillId="4" borderId="13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164" fontId="16" fillId="6" borderId="13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right" vertical="center" wrapText="1"/>
    </xf>
    <xf numFmtId="8" fontId="16" fillId="6" borderId="16" xfId="0" applyNumberFormat="1" applyFont="1" applyFill="1" applyBorder="1" applyAlignment="1">
      <alignment horizontal="right" vertical="center" wrapText="1"/>
    </xf>
    <xf numFmtId="164" fontId="0" fillId="0" borderId="0" xfId="0" applyNumberFormat="1"/>
    <xf numFmtId="0" fontId="10" fillId="3" borderId="0" xfId="0" applyFont="1" applyFill="1" applyAlignment="1">
      <alignment horizontal="left" vertical="center" wrapText="1"/>
    </xf>
    <xf numFmtId="0" fontId="13" fillId="5" borderId="18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right" vertical="center" wrapText="1"/>
    </xf>
    <xf numFmtId="0" fontId="13" fillId="4" borderId="18" xfId="0" applyFont="1" applyFill="1" applyBorder="1" applyAlignment="1">
      <alignment horizontal="center" vertical="center"/>
    </xf>
    <xf numFmtId="0" fontId="25" fillId="5" borderId="18" xfId="0" applyFont="1" applyFill="1" applyBorder="1" applyAlignment="1">
      <alignment horizontal="center" vertical="center"/>
    </xf>
    <xf numFmtId="0" fontId="33" fillId="5" borderId="18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right" vertical="center" wrapText="1"/>
    </xf>
    <xf numFmtId="0" fontId="0" fillId="0" borderId="9" xfId="0" applyBorder="1"/>
    <xf numFmtId="14" fontId="0" fillId="7" borderId="2" xfId="0" applyNumberFormat="1" applyFill="1" applyBorder="1" applyProtection="1">
      <protection locked="0"/>
    </xf>
    <xf numFmtId="0" fontId="39" fillId="7" borderId="3" xfId="0" applyFont="1" applyFill="1" applyBorder="1" applyAlignment="1" applyProtection="1">
      <alignment horizontal="center" vertical="center"/>
      <protection locked="0"/>
    </xf>
    <xf numFmtId="0" fontId="0" fillId="7" borderId="4" xfId="0" applyFill="1" applyBorder="1" applyProtection="1">
      <protection locked="0"/>
    </xf>
    <xf numFmtId="0" fontId="0" fillId="0" borderId="0" xfId="0" applyProtection="1">
      <protection locked="0"/>
    </xf>
    <xf numFmtId="0" fontId="40" fillId="8" borderId="20" xfId="0" applyFont="1" applyFill="1" applyBorder="1" applyProtection="1">
      <protection locked="0"/>
    </xf>
    <xf numFmtId="0" fontId="41" fillId="8" borderId="21" xfId="0" applyFont="1" applyFill="1" applyBorder="1" applyAlignment="1" applyProtection="1">
      <alignment horizontal="center"/>
      <protection locked="0"/>
    </xf>
    <xf numFmtId="0" fontId="42" fillId="9" borderId="21" xfId="0" applyFont="1" applyFill="1" applyBorder="1" applyProtection="1">
      <protection locked="0"/>
    </xf>
    <xf numFmtId="0" fontId="40" fillId="8" borderId="22" xfId="0" applyFont="1" applyFill="1" applyBorder="1" applyProtection="1">
      <protection locked="0"/>
    </xf>
    <xf numFmtId="0" fontId="41" fillId="8" borderId="23" xfId="0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165" fontId="41" fillId="8" borderId="23" xfId="1" applyNumberFormat="1" applyFont="1" applyFill="1" applyBorder="1" applyAlignment="1" applyProtection="1">
      <alignment horizontal="center"/>
      <protection locked="0"/>
    </xf>
    <xf numFmtId="0" fontId="44" fillId="0" borderId="0" xfId="0" applyFont="1" applyAlignment="1" applyProtection="1">
      <alignment horizontal="left"/>
      <protection locked="0"/>
    </xf>
    <xf numFmtId="0" fontId="46" fillId="0" borderId="0" xfId="0" applyFont="1" applyAlignment="1" applyProtection="1">
      <alignment vertical="center"/>
      <protection locked="0"/>
    </xf>
    <xf numFmtId="0" fontId="47" fillId="0" borderId="0" xfId="0" applyFont="1" applyProtection="1">
      <protection locked="0"/>
    </xf>
    <xf numFmtId="0" fontId="49" fillId="0" borderId="0" xfId="0" applyFont="1" applyProtection="1">
      <protection locked="0"/>
    </xf>
    <xf numFmtId="0" fontId="50" fillId="0" borderId="23" xfId="0" applyFont="1" applyBorder="1" applyProtection="1">
      <protection locked="0"/>
    </xf>
    <xf numFmtId="0" fontId="41" fillId="8" borderId="25" xfId="0" applyFont="1" applyFill="1" applyBorder="1" applyProtection="1">
      <protection locked="0"/>
    </xf>
    <xf numFmtId="0" fontId="41" fillId="8" borderId="26" xfId="0" applyFont="1" applyFill="1" applyBorder="1" applyAlignment="1" applyProtection="1">
      <alignment horizontal="center"/>
      <protection locked="0"/>
    </xf>
    <xf numFmtId="0" fontId="55" fillId="3" borderId="0" xfId="0" applyFont="1" applyFill="1" applyProtection="1">
      <protection locked="0"/>
    </xf>
    <xf numFmtId="0" fontId="2" fillId="0" borderId="9" xfId="0" applyFont="1" applyBorder="1"/>
    <xf numFmtId="0" fontId="0" fillId="0" borderId="24" xfId="0" applyBorder="1" applyProtection="1">
      <protection locked="0"/>
    </xf>
    <xf numFmtId="0" fontId="4" fillId="0" borderId="0" xfId="0" applyFont="1" applyProtection="1">
      <protection locked="0"/>
    </xf>
    <xf numFmtId="0" fontId="4" fillId="0" borderId="23" xfId="0" applyFont="1" applyBorder="1" applyProtection="1">
      <protection locked="0"/>
    </xf>
    <xf numFmtId="0" fontId="45" fillId="0" borderId="0" xfId="0" applyFont="1" applyAlignment="1" applyProtection="1">
      <alignment horizontal="left" wrapText="1"/>
      <protection locked="0"/>
    </xf>
    <xf numFmtId="0" fontId="0" fillId="0" borderId="23" xfId="0" applyBorder="1"/>
    <xf numFmtId="0" fontId="0" fillId="0" borderId="23" xfId="0" applyBorder="1" applyAlignment="1" applyProtection="1">
      <alignment vertical="center"/>
      <protection locked="0"/>
    </xf>
    <xf numFmtId="0" fontId="48" fillId="0" borderId="23" xfId="0" applyFont="1" applyBorder="1" applyProtection="1">
      <protection locked="0"/>
    </xf>
    <xf numFmtId="0" fontId="17" fillId="4" borderId="27" xfId="0" applyFont="1" applyFill="1" applyBorder="1" applyAlignment="1">
      <alignment horizontal="center" vertical="center" wrapText="1"/>
    </xf>
    <xf numFmtId="8" fontId="16" fillId="6" borderId="28" xfId="0" applyNumberFormat="1" applyFont="1" applyFill="1" applyBorder="1" applyAlignment="1">
      <alignment horizontal="right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28" fillId="6" borderId="27" xfId="0" applyFont="1" applyFill="1" applyBorder="1" applyAlignment="1">
      <alignment horizontal="center" vertical="center" wrapText="1"/>
    </xf>
    <xf numFmtId="0" fontId="17" fillId="4" borderId="27" xfId="2" applyFont="1" applyFill="1" applyBorder="1" applyAlignment="1">
      <alignment horizontal="center" vertical="center" wrapText="1"/>
    </xf>
    <xf numFmtId="8" fontId="52" fillId="3" borderId="4" xfId="0" applyNumberFormat="1" applyFont="1" applyFill="1" applyBorder="1" applyAlignment="1">
      <alignment horizontal="right" vertical="center" wrapText="1"/>
    </xf>
    <xf numFmtId="0" fontId="5" fillId="3" borderId="29" xfId="0" applyFont="1" applyFill="1" applyBorder="1" applyAlignment="1">
      <alignment horizontal="center" vertical="center" wrapText="1"/>
    </xf>
    <xf numFmtId="8" fontId="7" fillId="3" borderId="30" xfId="0" applyNumberFormat="1" applyFont="1" applyFill="1" applyBorder="1" applyAlignment="1">
      <alignment horizontal="right" vertical="center" wrapText="1"/>
    </xf>
    <xf numFmtId="8" fontId="16" fillId="6" borderId="31" xfId="0" applyNumberFormat="1" applyFont="1" applyFill="1" applyBorder="1" applyAlignment="1">
      <alignment horizontal="right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0" fillId="0" borderId="27" xfId="0" applyBorder="1"/>
    <xf numFmtId="8" fontId="43" fillId="0" borderId="31" xfId="0" applyNumberFormat="1" applyFont="1" applyBorder="1"/>
    <xf numFmtId="0" fontId="53" fillId="3" borderId="24" xfId="0" applyFont="1" applyFill="1" applyBorder="1" applyAlignment="1">
      <alignment horizontal="left"/>
    </xf>
    <xf numFmtId="164" fontId="45" fillId="3" borderId="0" xfId="0" applyNumberFormat="1" applyFont="1" applyFill="1" applyAlignment="1" applyProtection="1">
      <alignment horizontal="left" vertical="center"/>
      <protection locked="0"/>
    </xf>
    <xf numFmtId="0" fontId="53" fillId="3" borderId="24" xfId="0" applyFont="1" applyFill="1" applyBorder="1" applyProtection="1">
      <protection locked="0"/>
    </xf>
    <xf numFmtId="0" fontId="53" fillId="3" borderId="0" xfId="0" applyFont="1" applyFill="1" applyProtection="1">
      <protection locked="0"/>
    </xf>
    <xf numFmtId="0" fontId="56" fillId="3" borderId="24" xfId="0" applyFont="1" applyFill="1" applyBorder="1" applyAlignment="1">
      <alignment horizontal="center" vertical="center"/>
    </xf>
    <xf numFmtId="0" fontId="49" fillId="3" borderId="24" xfId="0" applyFont="1" applyFill="1" applyBorder="1" applyProtection="1">
      <protection locked="0"/>
    </xf>
    <xf numFmtId="0" fontId="49" fillId="3" borderId="0" xfId="0" applyFont="1" applyFill="1" applyProtection="1">
      <protection locked="0"/>
    </xf>
    <xf numFmtId="0" fontId="54" fillId="3" borderId="0" xfId="0" applyFont="1" applyFill="1" applyProtection="1">
      <protection locked="0"/>
    </xf>
    <xf numFmtId="14" fontId="4" fillId="0" borderId="0" xfId="0" applyNumberFormat="1" applyFont="1" applyProtection="1">
      <protection locked="0"/>
    </xf>
    <xf numFmtId="8" fontId="51" fillId="0" borderId="31" xfId="0" applyNumberFormat="1" applyFont="1" applyBorder="1" applyAlignment="1">
      <alignment horizontal="right" vertical="center"/>
    </xf>
    <xf numFmtId="0" fontId="43" fillId="0" borderId="9" xfId="0" applyFont="1" applyBorder="1"/>
    <xf numFmtId="0" fontId="57" fillId="10" borderId="33" xfId="0" applyFont="1" applyFill="1" applyBorder="1"/>
    <xf numFmtId="0" fontId="0" fillId="5" borderId="33" xfId="0" applyFill="1" applyBorder="1"/>
    <xf numFmtId="0" fontId="0" fillId="0" borderId="33" xfId="0" applyBorder="1"/>
    <xf numFmtId="0" fontId="0" fillId="11" borderId="0" xfId="0" applyFill="1"/>
    <xf numFmtId="0" fontId="11" fillId="4" borderId="34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164" fontId="12" fillId="4" borderId="17" xfId="0" applyNumberFormat="1" applyFont="1" applyFill="1" applyBorder="1" applyAlignment="1">
      <alignment horizontal="center" vertical="center" wrapText="1"/>
    </xf>
    <xf numFmtId="8" fontId="16" fillId="6" borderId="35" xfId="0" applyNumberFormat="1" applyFont="1" applyFill="1" applyBorder="1" applyAlignment="1">
      <alignment horizontal="right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0" fontId="16" fillId="6" borderId="37" xfId="0" applyFont="1" applyFill="1" applyBorder="1" applyAlignment="1">
      <alignment horizontal="center" vertical="center" wrapText="1"/>
    </xf>
    <xf numFmtId="164" fontId="16" fillId="6" borderId="3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10" fillId="11" borderId="3" xfId="0" applyFont="1" applyFill="1" applyBorder="1" applyAlignment="1">
      <alignment horizontal="right" vertical="center" wrapText="1"/>
    </xf>
    <xf numFmtId="0" fontId="0" fillId="0" borderId="0" xfId="0" applyNumberFormat="1"/>
    <xf numFmtId="0" fontId="10" fillId="3" borderId="0" xfId="0" applyFont="1" applyFill="1" applyAlignment="1">
      <alignment horizontal="center" vertical="center" wrapText="1"/>
    </xf>
    <xf numFmtId="0" fontId="38" fillId="7" borderId="3" xfId="0" applyFont="1" applyFill="1" applyBorder="1" applyAlignment="1" applyProtection="1">
      <alignment horizontal="right" vertical="center"/>
      <protection locked="0"/>
    </xf>
    <xf numFmtId="0" fontId="0" fillId="3" borderId="0" xfId="0" applyFill="1" applyAlignment="1">
      <alignment horizontal="center" vertical="center"/>
    </xf>
  </cellXfs>
  <cellStyles count="3">
    <cellStyle name="Normal" xfId="0" builtinId="0"/>
    <cellStyle name="Normal 2" xfId="2"/>
    <cellStyle name="Pourcentage" xfId="1" builtinId="5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E0E10"/>
        <name val="Times New Roman"/>
        <scheme val="none"/>
      </font>
      <numFmt numFmtId="12" formatCode="#,##0.00\ &quot;€&quot;;[Red]\-#,##0.00\ &quot;€&quot;"/>
      <fill>
        <patternFill patternType="solid">
          <fgColor indexed="64"/>
          <bgColor rgb="FFFEFFFF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medium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C"/>
        <name val="Times New Roman"/>
        <scheme val="none"/>
      </font>
      <numFmt numFmtId="164" formatCode="#,##0.00\ &quot;€&quot;"/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E0E10"/>
        <name val="Times New Roman"/>
        <scheme val="none"/>
      </font>
      <fill>
        <patternFill patternType="solid">
          <fgColor indexed="64"/>
          <bgColor rgb="FFFEFFFF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3"/>
        <name val="Times New Roman"/>
        <scheme val="none"/>
      </font>
      <fill>
        <patternFill patternType="solid">
          <fgColor indexed="64"/>
          <bgColor rgb="FFFE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2"/>
        <name val="Times New Roman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rial Unicode MS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C"/>
        <name val="Times New Roman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C"/>
        <name val="Courier New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medium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E0E10"/>
        <name val="Times New Roman"/>
        <scheme val="none"/>
      </font>
      <numFmt numFmtId="12" formatCode="#,##0.00\ &quot;€&quot;;[Red]\-#,##0.00\ &quot;€&quot;"/>
      <fill>
        <patternFill patternType="solid">
          <fgColor indexed="64"/>
          <bgColor rgb="FFFEFFFF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medium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C"/>
        <name val="Times New Roman"/>
        <scheme val="none"/>
      </font>
      <numFmt numFmtId="164" formatCode="#,##0.00\ &quot;€&quot;"/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E0E10"/>
        <name val="Times New Roman"/>
        <scheme val="none"/>
      </font>
      <fill>
        <patternFill patternType="solid">
          <fgColor indexed="64"/>
          <bgColor rgb="FFFEFFFF"/>
        </patternFill>
      </fill>
      <alignment horizontal="righ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3"/>
        <name val="Times New Roman"/>
        <scheme val="none"/>
      </font>
      <fill>
        <patternFill patternType="solid">
          <fgColor indexed="64"/>
          <bgColor rgb="FFFE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2"/>
        <name val="Times New Roman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rial Unicode MS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C"/>
        <name val="Times New Roman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C"/>
        <name val="Courier New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medium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1104900</xdr:colOff>
      <xdr:row>1</xdr:row>
      <xdr:rowOff>121920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/>
        <a:srcRect t="36792" b="26415"/>
        <a:stretch>
          <a:fillRect/>
        </a:stretch>
      </xdr:blipFill>
      <xdr:spPr bwMode="auto">
        <a:xfrm>
          <a:off x="3375660" y="0"/>
          <a:ext cx="1104900" cy="297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CTURATION%20GESTION%20CLIENTS%20PROFORM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ISTORIQUE_FACTURE 2022"/>
      <sheetName val="FACTURE (2)"/>
      <sheetName val="FACTURE"/>
      <sheetName val="Feuil2"/>
      <sheetName val="HAMADI MAUR"/>
      <sheetName val="HISTORIQUE_FACTURES"/>
      <sheetName val="liste_clients"/>
      <sheetName val="TABLEAU DE BORD "/>
      <sheetName val="HISTORIQUE_FACTURES (2)"/>
      <sheetName val="Feuil3"/>
      <sheetName val="Ali attoumane"/>
      <sheetName val="Gestion"/>
      <sheetName val="Fact 2406"/>
      <sheetName val="Fact 2405"/>
      <sheetName val="Fact 2403"/>
      <sheetName val="Fact 2407"/>
      <sheetName val="Fact 2404"/>
      <sheetName val="Fact 2402"/>
      <sheetName val="Fact 2401"/>
      <sheetName val="Feuil1"/>
      <sheetName val="FACTURATION GESTION CLIENTS P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SELECTIONNER LE CLIENT</v>
          </cell>
        </row>
        <row r="2">
          <cell r="A2" t="str">
            <v xml:space="preserve">ABI06 </v>
          </cell>
        </row>
        <row r="3">
          <cell r="A3" t="str">
            <v>USMAN INTERNATIONAL FZC</v>
          </cell>
        </row>
        <row r="4">
          <cell r="A4" t="str">
            <v>ALBAKOR SPL</v>
          </cell>
        </row>
        <row r="5">
          <cell r="A5" t="str">
            <v>BABAN TRADING FZC</v>
          </cell>
        </row>
        <row r="6">
          <cell r="A6" t="str">
            <v>BARA DIOP</v>
          </cell>
        </row>
        <row r="7">
          <cell r="A7" t="str">
            <v>CAP ENERGIE</v>
          </cell>
        </row>
        <row r="8">
          <cell r="A8" t="str">
            <v>CASASOLA y CUESTA SL</v>
          </cell>
        </row>
        <row r="9">
          <cell r="A9" t="str">
            <v>CHEEMACOM SPRL</v>
          </cell>
        </row>
        <row r="10">
          <cell r="A10" t="str">
            <v>DIALATEX SORTING S.A.R.L.</v>
          </cell>
        </row>
        <row r="11">
          <cell r="A11" t="str">
            <v>ECO TRI INTERNATIONAL</v>
          </cell>
        </row>
        <row r="12">
          <cell r="A12" t="str">
            <v>FDN GUMRUKLEME DIS TICARET LTD STI</v>
          </cell>
        </row>
        <row r="13">
          <cell r="A13" t="str">
            <v>FLORENCE BERNAL</v>
          </cell>
        </row>
        <row r="14">
          <cell r="A14" t="str">
            <v>FOFANA MAHMOUDOU</v>
          </cell>
        </row>
        <row r="15">
          <cell r="A15" t="str">
            <v>HAMLAOUI MESSAOUD</v>
          </cell>
        </row>
        <row r="16">
          <cell r="A16" t="str">
            <v>HAMZA EL FECHTALI</v>
          </cell>
        </row>
        <row r="17">
          <cell r="A17" t="str">
            <v>IDC INTERNATIONAL</v>
          </cell>
        </row>
        <row r="18">
          <cell r="A18" t="str">
            <v xml:space="preserve">INSER-VET </v>
          </cell>
        </row>
        <row r="19">
          <cell r="A19" t="str">
            <v>JAJA LA FOUINE</v>
          </cell>
        </row>
        <row r="20">
          <cell r="A20" t="str">
            <v>KANUMATEX</v>
          </cell>
        </row>
        <row r="21">
          <cell r="A21" t="str">
            <v>LA FIBRE SOLIDAIRE</v>
          </cell>
        </row>
        <row r="22">
          <cell r="A22" t="str">
            <v>LAZAARTEX ENTERPRISE SLU</v>
          </cell>
        </row>
        <row r="23">
          <cell r="A23" t="str">
            <v>LE TRI D'EMMA</v>
          </cell>
        </row>
        <row r="24">
          <cell r="A24" t="str">
            <v>MOMOU</v>
          </cell>
        </row>
        <row r="25">
          <cell r="A25" t="str">
            <v>NADEGE PEREZ</v>
          </cell>
        </row>
        <row r="26">
          <cell r="A26" t="str">
            <v>NATHALIE ETIENNE ABSOLUTE VINTAGE</v>
          </cell>
        </row>
        <row r="27">
          <cell r="A27" t="str">
            <v>NDEYE MATY DIOP</v>
          </cell>
        </row>
        <row r="28">
          <cell r="A28" t="str">
            <v>NOURI USMAN</v>
          </cell>
        </row>
        <row r="29">
          <cell r="A29" t="str">
            <v>PROVENCE TLC</v>
          </cell>
        </row>
        <row r="30">
          <cell r="A30" t="str">
            <v xml:space="preserve">ROPATEX TRADING SL </v>
          </cell>
        </row>
        <row r="31">
          <cell r="A31" t="str">
            <v>SALLOURA KING BV</v>
          </cell>
        </row>
        <row r="32">
          <cell r="A32" t="str">
            <v>SARL ELYAVI FRIPP</v>
          </cell>
        </row>
        <row r="33">
          <cell r="A33" t="str">
            <v>SAS SYBARITE VINTAGE</v>
          </cell>
        </row>
        <row r="34">
          <cell r="A34" t="str">
            <v>SASU KRE SERVICES</v>
          </cell>
        </row>
        <row r="35">
          <cell r="A35" t="str">
            <v>SOFRIM SARL (Société de Friperie Moderne)</v>
          </cell>
        </row>
        <row r="36">
          <cell r="A36" t="str">
            <v>TEXAMIRA LDA</v>
          </cell>
        </row>
        <row r="37">
          <cell r="A37" t="str">
            <v xml:space="preserve">TEXSUD </v>
          </cell>
        </row>
        <row r="38">
          <cell r="A38" t="str">
            <v>ACTIFRIP INTERNATIONAL</v>
          </cell>
        </row>
        <row r="39">
          <cell r="A39" t="str">
            <v>VANBREUZE PRODUCTIONS</v>
          </cell>
        </row>
        <row r="40">
          <cell r="A40" t="str">
            <v xml:space="preserve">VERTEX </v>
          </cell>
        </row>
        <row r="41">
          <cell r="A41" t="str">
            <v xml:space="preserve">WH  TRADING FZC                                                        </v>
          </cell>
        </row>
        <row r="42">
          <cell r="A42" t="str">
            <v>RIS SORRENTINO SNC</v>
          </cell>
        </row>
        <row r="43">
          <cell r="A43" t="str">
            <v>ZAITEX TRADING SL</v>
          </cell>
        </row>
        <row r="44">
          <cell r="A44" t="str">
            <v>SAS COLOR CAFE</v>
          </cell>
        </row>
        <row r="45">
          <cell r="A45" t="str">
            <v>SARL NEW  PUCES</v>
          </cell>
        </row>
        <row r="46">
          <cell r="A46" t="str">
            <v>ALI ATTOUMANE</v>
          </cell>
        </row>
        <row r="47">
          <cell r="A47" t="str">
            <v>SARL MAGREG L'Entrepôt des Textiles</v>
          </cell>
        </row>
        <row r="48">
          <cell r="A48" t="str">
            <v>TEXTIL OUJDA Rabah-Badda</v>
          </cell>
        </row>
        <row r="49">
          <cell r="A49" t="str">
            <v>RAYAN - L SRL</v>
          </cell>
        </row>
        <row r="50">
          <cell r="A50" t="str">
            <v xml:space="preserve">ORO AFRETEX SL </v>
          </cell>
        </row>
        <row r="51">
          <cell r="A51" t="str">
            <v>CARMELIET GMBH</v>
          </cell>
        </row>
        <row r="52">
          <cell r="A52" t="str">
            <v>USMAN INDUSTRIES FZC</v>
          </cell>
        </row>
        <row r="53">
          <cell r="A53" t="str">
            <v>KARAMA RECYCLAGE SARL</v>
          </cell>
        </row>
        <row r="54">
          <cell r="A54" t="str">
            <v>MAISSA 34</v>
          </cell>
        </row>
        <row r="55">
          <cell r="A55" t="str">
            <v>H. Sarah-Trading LDA</v>
          </cell>
        </row>
        <row r="56">
          <cell r="A56" t="str">
            <v xml:space="preserve">CARGO and MANAGEMENT SERVICES LTD </v>
          </cell>
        </row>
        <row r="57">
          <cell r="A57" t="str">
            <v>KARIM CHIKAR</v>
          </cell>
        </row>
        <row r="58">
          <cell r="A58" t="str">
            <v>LLC HARANT AVTOBUD</v>
          </cell>
        </row>
        <row r="59">
          <cell r="A59" t="str">
            <v>STAR SHINE CLOTHING PVT LTD</v>
          </cell>
        </row>
        <row r="60">
          <cell r="A60" t="str">
            <v>MOUNAIM ACHIKRI</v>
          </cell>
        </row>
        <row r="61">
          <cell r="A61" t="str">
            <v>SAID ARCHIDI</v>
          </cell>
        </row>
        <row r="62">
          <cell r="A62" t="str">
            <v>HADICO TEKSTIL LTD STI</v>
          </cell>
        </row>
        <row r="63">
          <cell r="A63" t="str">
            <v>AMINTEX 2020 SL</v>
          </cell>
        </row>
        <row r="64">
          <cell r="A64" t="str">
            <v>MUSTAPHA LABBOUZI</v>
          </cell>
        </row>
        <row r="65">
          <cell r="A65" t="str">
            <v>YASSIN ARCHID</v>
          </cell>
        </row>
        <row r="66">
          <cell r="A66" t="str">
            <v>DESDE MEXICO 2020 SL</v>
          </cell>
        </row>
        <row r="67">
          <cell r="A67" t="str">
            <v>MEGATEX FZE</v>
          </cell>
        </row>
        <row r="68">
          <cell r="A68" t="str">
            <v>MOHATEXALACANT (Archidi El Kotbi Boujemaa)</v>
          </cell>
        </row>
        <row r="69">
          <cell r="A69" t="str">
            <v>HAPPY TRUCKS SPRL</v>
          </cell>
        </row>
        <row r="70">
          <cell r="A70" t="str">
            <v>KUIDER GROUP LTD</v>
          </cell>
        </row>
        <row r="71">
          <cell r="A71" t="str">
            <v xml:space="preserve">Przedsiebiorstwo Produkcyjno Handlowo Uslugowe </v>
          </cell>
        </row>
        <row r="72">
          <cell r="A72" t="str">
            <v>TEXTILES FAISSAL (Faissal Azraoui)</v>
          </cell>
        </row>
        <row r="73">
          <cell r="A73" t="str">
            <v>RIM TEX -2004 LTD</v>
          </cell>
        </row>
        <row r="74">
          <cell r="A74" t="str">
            <v>TEXTIALLAI SL</v>
          </cell>
        </row>
        <row r="75">
          <cell r="A75" t="str">
            <v>GARMENT BG LTD</v>
          </cell>
        </row>
        <row r="76">
          <cell r="A76" t="str">
            <v>HABIB HARFOUCHE</v>
          </cell>
        </row>
        <row r="77">
          <cell r="A77" t="str">
            <v>FARES OURABAH</v>
          </cell>
        </row>
        <row r="78">
          <cell r="A78" t="str">
            <v>TAZGAIT SID</v>
          </cell>
        </row>
        <row r="79">
          <cell r="A79" t="str">
            <v>MUNDUS FOOD S.R.O.</v>
          </cell>
        </row>
        <row r="80">
          <cell r="A80" t="str">
            <v>BRIHMAT KAMAL</v>
          </cell>
        </row>
        <row r="81">
          <cell r="A81" t="str">
            <v>BRIHMAT HALIM</v>
          </cell>
        </row>
        <row r="82">
          <cell r="A82" t="str">
            <v>CIRCUTEX SARL</v>
          </cell>
        </row>
        <row r="83">
          <cell r="A83" t="str">
            <v>ANS TRADING BVBA</v>
          </cell>
        </row>
        <row r="84">
          <cell r="A84" t="str">
            <v>AMIAR BOUALEM</v>
          </cell>
        </row>
        <row r="85">
          <cell r="A85" t="str">
            <v>LEGACY TEX SL</v>
          </cell>
        </row>
        <row r="86">
          <cell r="A86" t="str">
            <v>ETS AISSATOU &amp; FRERES</v>
          </cell>
        </row>
        <row r="87">
          <cell r="A87" t="str">
            <v>KOUIDER GROUP LTD</v>
          </cell>
        </row>
        <row r="88">
          <cell r="A88" t="str">
            <v>ETABLISSEMENT SACKO &amp; MAGASSOUBA ''ETS.S.M"</v>
          </cell>
        </row>
        <row r="89">
          <cell r="A89" t="str">
            <v>ETS.CHANTALTEX</v>
          </cell>
        </row>
        <row r="90">
          <cell r="A90" t="str">
            <v>ETS BA IBRAHIMA HAMADY-B.IH-</v>
          </cell>
        </row>
        <row r="91">
          <cell r="A91" t="str">
            <v>ETS BA IBRAHIMA HAMADY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ables/table1.xml><?xml version="1.0" encoding="utf-8"?>
<table xmlns="http://schemas.openxmlformats.org/spreadsheetml/2006/main" id="1" name="Tableau1" displayName="Tableau1" ref="B5:J110" totalsRowShown="0">
  <autoFilter ref="B5:J110"/>
  <tableColumns count="9">
    <tableColumn id="1" name="CODE " dataDxfId="47"/>
    <tableColumn id="2" name="REFERENCE " dataDxfId="46"/>
    <tableColumn id="3" name="DESCRITION " dataDxfId="45"/>
    <tableColumn id="4" name="poids par balle" dataDxfId="44"/>
    <tableColumn id="5" name="nbre de balles" dataDxfId="43"/>
    <tableColumn id="6" name="POIDS TOTAL " dataDxfId="42">
      <calculatedColumnFormula>E6*F6</calculatedColumnFormula>
    </tableColumn>
    <tableColumn id="7" name="PRIX" dataDxfId="41"/>
    <tableColumn id="8" name="TOTAL  " dataDxfId="40">
      <calculatedColumnFormula>G6*H6</calculatedColumnFormula>
    </tableColumn>
    <tableColumn id="9" name="Colonne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13" displayName="Tableau13" ref="B5:J110" totalsRowShown="0">
  <autoFilter ref="B5:J110"/>
  <tableColumns count="9">
    <tableColumn id="1" name="CODE " dataDxfId="7"/>
    <tableColumn id="2" name="REFERENCE " dataDxfId="6"/>
    <tableColumn id="3" name="DESCRITION " dataDxfId="5"/>
    <tableColumn id="4" name="WEIGHT PER BALL( kg)" dataDxfId="4"/>
    <tableColumn id="5" name="NUMBER OF BALLS" dataDxfId="3"/>
    <tableColumn id="6" name=" TOTAL WEIGHT " dataDxfId="2">
      <calculatedColumnFormula>E6*F6</calculatedColumnFormula>
    </tableColumn>
    <tableColumn id="7" name="PRICE" dataDxfId="1"/>
    <tableColumn id="8" name="TOTAL  " dataDxfId="0">
      <calculatedColumnFormula>G6*H6</calculatedColumnFormula>
    </tableColumn>
    <tableColumn id="9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miratex-france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amiratex-france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P219"/>
  <sheetViews>
    <sheetView tabSelected="1" topLeftCell="D1" workbookViewId="0">
      <selection activeCell="F3" sqref="F3"/>
    </sheetView>
  </sheetViews>
  <sheetFormatPr baseColWidth="10" defaultRowHeight="13.8"/>
  <cols>
    <col min="3" max="3" width="21.8984375" customWidth="1"/>
    <col min="4" max="4" width="44.09765625" customWidth="1"/>
    <col min="5" max="5" width="19" customWidth="1"/>
    <col min="6" max="6" width="15.796875" customWidth="1"/>
    <col min="7" max="7" width="18.296875" customWidth="1"/>
    <col min="8" max="8" width="15.19921875" customWidth="1"/>
    <col min="9" max="9" width="20.59765625" customWidth="1"/>
  </cols>
  <sheetData>
    <row r="2" spans="2:16" ht="14.4" thickBot="1">
      <c r="E2" s="138" t="s">
        <v>226</v>
      </c>
    </row>
    <row r="3" spans="2:16" ht="23.4" thickBot="1">
      <c r="C3" s="1"/>
      <c r="D3" s="2" t="s">
        <v>0</v>
      </c>
      <c r="H3" s="3"/>
    </row>
    <row r="4" spans="2:16" ht="18" thickBot="1">
      <c r="C4" s="1"/>
      <c r="H4" s="3"/>
    </row>
    <row r="5" spans="2:16" ht="32.4" customHeight="1" thickBot="1">
      <c r="B5" s="4" t="s">
        <v>1</v>
      </c>
      <c r="C5" s="5" t="s">
        <v>2</v>
      </c>
      <c r="D5" s="4" t="s">
        <v>3</v>
      </c>
      <c r="E5" s="6" t="s">
        <v>4</v>
      </c>
      <c r="F5" s="7" t="s">
        <v>5</v>
      </c>
      <c r="G5" s="8" t="s">
        <v>6</v>
      </c>
      <c r="H5" s="9" t="s">
        <v>7</v>
      </c>
      <c r="I5" s="4" t="s">
        <v>8</v>
      </c>
      <c r="J5" t="s">
        <v>205</v>
      </c>
    </row>
    <row r="6" spans="2:16" ht="23.4" thickBot="1">
      <c r="B6" s="5"/>
      <c r="C6" s="10"/>
      <c r="D6" s="11" t="s">
        <v>9</v>
      </c>
      <c r="E6" s="10"/>
      <c r="F6" s="12"/>
      <c r="G6" s="13"/>
      <c r="H6" s="12"/>
      <c r="I6" s="14"/>
    </row>
    <row r="7" spans="2:16" ht="20.399999999999999" customHeight="1">
      <c r="B7" s="15">
        <v>5000</v>
      </c>
      <c r="C7" s="16" t="s">
        <v>10</v>
      </c>
      <c r="D7" s="17" t="s">
        <v>11</v>
      </c>
      <c r="E7" s="18">
        <v>40</v>
      </c>
      <c r="F7" s="19">
        <v>5</v>
      </c>
      <c r="G7" s="20">
        <f t="shared" ref="G7:G69" si="0">E7*F7</f>
        <v>200</v>
      </c>
      <c r="H7" s="21">
        <v>1.6</v>
      </c>
      <c r="I7" s="22">
        <f>G7*H7</f>
        <v>320</v>
      </c>
      <c r="J7" t="s">
        <v>204</v>
      </c>
      <c r="K7" s="71">
        <f>H7-0.1</f>
        <v>1.5</v>
      </c>
      <c r="M7" t="s">
        <v>340</v>
      </c>
    </row>
    <row r="8" spans="2:16" ht="20.399999999999999" customHeight="1">
      <c r="B8" s="23">
        <v>5001</v>
      </c>
      <c r="C8" s="24" t="s">
        <v>12</v>
      </c>
      <c r="D8" s="25" t="s">
        <v>13</v>
      </c>
      <c r="E8" s="26">
        <v>65</v>
      </c>
      <c r="F8" s="27">
        <v>6</v>
      </c>
      <c r="G8" s="20">
        <f t="shared" si="0"/>
        <v>390</v>
      </c>
      <c r="H8" s="28">
        <v>1.5999999999999999</v>
      </c>
      <c r="I8" s="22">
        <f t="shared" ref="I8:I69" si="1">G8*H8</f>
        <v>624</v>
      </c>
      <c r="J8" t="s">
        <v>204</v>
      </c>
      <c r="K8" s="71">
        <f t="shared" ref="K8:K69" si="2">H8-0.1</f>
        <v>1.4999999999999998</v>
      </c>
      <c r="M8" t="s">
        <v>341</v>
      </c>
    </row>
    <row r="9" spans="2:16" ht="20.399999999999999" customHeight="1">
      <c r="B9" s="23">
        <v>5002</v>
      </c>
      <c r="C9" s="24" t="s">
        <v>14</v>
      </c>
      <c r="D9" s="17" t="s">
        <v>15</v>
      </c>
      <c r="E9" s="26">
        <v>40</v>
      </c>
      <c r="F9" s="27">
        <v>5</v>
      </c>
      <c r="G9" s="20">
        <f t="shared" si="0"/>
        <v>200</v>
      </c>
      <c r="H9" s="28">
        <v>2</v>
      </c>
      <c r="I9" s="22">
        <f t="shared" si="1"/>
        <v>400</v>
      </c>
      <c r="J9" t="s">
        <v>204</v>
      </c>
      <c r="K9" s="71">
        <f t="shared" si="2"/>
        <v>1.9</v>
      </c>
      <c r="L9" t="str">
        <f>LEFT(M9,4)</f>
        <v>5062</v>
      </c>
      <c r="M9" t="s">
        <v>342</v>
      </c>
      <c r="P9" t="e">
        <f>VLOOKUP(L9,B7:I110,E7:E110,FALSE)</f>
        <v>#N/A</v>
      </c>
    </row>
    <row r="10" spans="2:16" ht="20.399999999999999" customHeight="1">
      <c r="B10" s="29">
        <v>5003</v>
      </c>
      <c r="C10" s="24" t="s">
        <v>16</v>
      </c>
      <c r="D10" s="25" t="s">
        <v>17</v>
      </c>
      <c r="E10" s="26">
        <v>40</v>
      </c>
      <c r="F10" s="27">
        <v>35</v>
      </c>
      <c r="G10" s="20">
        <f t="shared" si="0"/>
        <v>1400</v>
      </c>
      <c r="H10" s="28">
        <v>1.5999999999999999</v>
      </c>
      <c r="I10" s="22">
        <f t="shared" si="1"/>
        <v>2240</v>
      </c>
      <c r="K10" s="71">
        <f t="shared" si="2"/>
        <v>1.4999999999999998</v>
      </c>
      <c r="L10" t="str">
        <f t="shared" ref="L10:L28" si="3">LEFT(M10,4)</f>
        <v>5052</v>
      </c>
      <c r="M10" t="s">
        <v>343</v>
      </c>
    </row>
    <row r="11" spans="2:16" ht="20.399999999999999" customHeight="1">
      <c r="B11" s="30">
        <v>5006</v>
      </c>
      <c r="C11" s="31" t="s">
        <v>18</v>
      </c>
      <c r="D11" s="17" t="s">
        <v>19</v>
      </c>
      <c r="E11" s="26">
        <v>45</v>
      </c>
      <c r="F11" s="27">
        <v>10</v>
      </c>
      <c r="G11" s="20">
        <f t="shared" si="0"/>
        <v>450</v>
      </c>
      <c r="H11" s="32">
        <v>1.5999999999999999</v>
      </c>
      <c r="I11" s="22">
        <f t="shared" si="1"/>
        <v>719.99999999999989</v>
      </c>
      <c r="K11" s="71">
        <f t="shared" si="2"/>
        <v>1.4999999999999998</v>
      </c>
      <c r="L11" t="str">
        <f t="shared" si="3"/>
        <v>5000</v>
      </c>
      <c r="M11" t="s">
        <v>344</v>
      </c>
    </row>
    <row r="12" spans="2:16" ht="20.399999999999999" customHeight="1">
      <c r="B12" s="23">
        <v>5007</v>
      </c>
      <c r="C12" s="24" t="s">
        <v>20</v>
      </c>
      <c r="D12" s="25" t="s">
        <v>21</v>
      </c>
      <c r="E12" s="26">
        <v>40</v>
      </c>
      <c r="F12" s="27">
        <v>15</v>
      </c>
      <c r="G12" s="20">
        <f t="shared" si="0"/>
        <v>600</v>
      </c>
      <c r="H12" s="28">
        <v>1.5999999999999999</v>
      </c>
      <c r="I12" s="22">
        <f t="shared" si="1"/>
        <v>959.99999999999989</v>
      </c>
      <c r="J12" t="s">
        <v>204</v>
      </c>
      <c r="K12" s="71">
        <f t="shared" si="2"/>
        <v>1.4999999999999998</v>
      </c>
      <c r="L12" t="str">
        <f t="shared" si="3"/>
        <v>5002</v>
      </c>
      <c r="M12" t="s">
        <v>345</v>
      </c>
    </row>
    <row r="13" spans="2:16" ht="20.399999999999999" customHeight="1">
      <c r="B13" s="23">
        <v>5008</v>
      </c>
      <c r="C13" s="24" t="s">
        <v>22</v>
      </c>
      <c r="D13" s="17" t="s">
        <v>23</v>
      </c>
      <c r="E13" s="26">
        <v>40</v>
      </c>
      <c r="F13" s="27">
        <v>3</v>
      </c>
      <c r="G13" s="20">
        <f t="shared" si="0"/>
        <v>120</v>
      </c>
      <c r="H13" s="28">
        <v>1.5999999999999999</v>
      </c>
      <c r="I13" s="22">
        <f t="shared" si="1"/>
        <v>191.99999999999997</v>
      </c>
      <c r="K13" s="71">
        <f t="shared" si="2"/>
        <v>1.4999999999999998</v>
      </c>
      <c r="L13" t="str">
        <f t="shared" si="3"/>
        <v>5020</v>
      </c>
      <c r="M13" t="s">
        <v>346</v>
      </c>
    </row>
    <row r="14" spans="2:16" ht="20.399999999999999" customHeight="1">
      <c r="B14" s="23">
        <v>5009</v>
      </c>
      <c r="C14" s="24" t="s">
        <v>24</v>
      </c>
      <c r="D14" s="25" t="s">
        <v>25</v>
      </c>
      <c r="E14" s="26">
        <v>55</v>
      </c>
      <c r="F14" s="27">
        <v>8</v>
      </c>
      <c r="G14" s="20">
        <f t="shared" si="0"/>
        <v>440</v>
      </c>
      <c r="H14" s="28">
        <v>1.2999999999999998</v>
      </c>
      <c r="I14" s="22">
        <f t="shared" si="1"/>
        <v>571.99999999999989</v>
      </c>
      <c r="K14" s="71">
        <f t="shared" si="2"/>
        <v>1.1999999999999997</v>
      </c>
      <c r="L14" t="str">
        <f t="shared" si="3"/>
        <v>5017</v>
      </c>
      <c r="M14" t="s">
        <v>347</v>
      </c>
    </row>
    <row r="15" spans="2:16" ht="20.399999999999999" customHeight="1">
      <c r="B15" s="30">
        <v>5010</v>
      </c>
      <c r="C15" s="31" t="s">
        <v>26</v>
      </c>
      <c r="D15" s="17" t="s">
        <v>27</v>
      </c>
      <c r="E15" s="26">
        <v>45</v>
      </c>
      <c r="F15" s="27">
        <v>15</v>
      </c>
      <c r="G15" s="20">
        <f t="shared" si="0"/>
        <v>675</v>
      </c>
      <c r="H15" s="32">
        <v>3</v>
      </c>
      <c r="I15" s="22">
        <f t="shared" si="1"/>
        <v>2025</v>
      </c>
      <c r="J15" t="s">
        <v>204</v>
      </c>
      <c r="K15" s="71">
        <f t="shared" si="2"/>
        <v>2.9</v>
      </c>
      <c r="L15" t="str">
        <f t="shared" si="3"/>
        <v>5025</v>
      </c>
      <c r="M15" t="s">
        <v>348</v>
      </c>
    </row>
    <row r="16" spans="2:16" ht="20.399999999999999" customHeight="1">
      <c r="B16" s="30">
        <v>5011</v>
      </c>
      <c r="C16" s="31" t="s">
        <v>28</v>
      </c>
      <c r="D16" s="25" t="s">
        <v>29</v>
      </c>
      <c r="E16" s="26">
        <v>45</v>
      </c>
      <c r="F16" s="27">
        <v>4</v>
      </c>
      <c r="G16" s="20">
        <f t="shared" si="0"/>
        <v>180</v>
      </c>
      <c r="H16" s="32">
        <v>1.5999999999999999</v>
      </c>
      <c r="I16" s="22">
        <f t="shared" si="1"/>
        <v>288</v>
      </c>
      <c r="J16" t="s">
        <v>204</v>
      </c>
      <c r="K16" s="71">
        <f t="shared" si="2"/>
        <v>1.4999999999999998</v>
      </c>
      <c r="L16" t="str">
        <f t="shared" si="3"/>
        <v>5090</v>
      </c>
      <c r="M16" t="s">
        <v>349</v>
      </c>
    </row>
    <row r="17" spans="2:13" ht="20.399999999999999" customHeight="1">
      <c r="B17" s="23">
        <v>5012</v>
      </c>
      <c r="C17" s="24" t="s">
        <v>30</v>
      </c>
      <c r="D17" s="17" t="s">
        <v>31</v>
      </c>
      <c r="E17" s="26">
        <v>40</v>
      </c>
      <c r="F17" s="27">
        <v>10</v>
      </c>
      <c r="G17" s="20">
        <f t="shared" si="0"/>
        <v>400</v>
      </c>
      <c r="H17" s="28">
        <v>1.5999999999999999</v>
      </c>
      <c r="I17" s="22">
        <f t="shared" si="1"/>
        <v>640</v>
      </c>
      <c r="K17" s="71">
        <f t="shared" si="2"/>
        <v>1.4999999999999998</v>
      </c>
      <c r="L17" t="str">
        <f t="shared" si="3"/>
        <v>5010</v>
      </c>
      <c r="M17" t="s">
        <v>350</v>
      </c>
    </row>
    <row r="18" spans="2:13" ht="20.399999999999999" customHeight="1">
      <c r="B18" s="23">
        <v>5013</v>
      </c>
      <c r="C18" s="24" t="s">
        <v>32</v>
      </c>
      <c r="D18" s="25" t="s">
        <v>33</v>
      </c>
      <c r="E18" s="26">
        <v>40</v>
      </c>
      <c r="F18" s="27">
        <v>2</v>
      </c>
      <c r="G18" s="20">
        <f t="shared" si="0"/>
        <v>80</v>
      </c>
      <c r="H18" s="28">
        <v>1.5999999999999999</v>
      </c>
      <c r="I18" s="22">
        <f t="shared" si="1"/>
        <v>127.99999999999999</v>
      </c>
      <c r="J18" t="s">
        <v>204</v>
      </c>
      <c r="K18" s="71">
        <f t="shared" si="2"/>
        <v>1.4999999999999998</v>
      </c>
      <c r="L18" t="str">
        <f t="shared" si="3"/>
        <v>5058</v>
      </c>
      <c r="M18" t="s">
        <v>351</v>
      </c>
    </row>
    <row r="19" spans="2:13" ht="20.399999999999999" customHeight="1">
      <c r="B19" s="23">
        <v>5014</v>
      </c>
      <c r="C19" s="24" t="s">
        <v>34</v>
      </c>
      <c r="D19" s="17" t="s">
        <v>35</v>
      </c>
      <c r="E19" s="26">
        <v>55</v>
      </c>
      <c r="F19" s="27">
        <v>4</v>
      </c>
      <c r="G19" s="20">
        <f t="shared" si="0"/>
        <v>220</v>
      </c>
      <c r="H19" s="28">
        <v>1.5999999999999999</v>
      </c>
      <c r="I19" s="22">
        <f t="shared" si="1"/>
        <v>351.99999999999994</v>
      </c>
      <c r="K19" s="71">
        <f t="shared" si="2"/>
        <v>1.4999999999999998</v>
      </c>
      <c r="L19" t="str">
        <f t="shared" si="3"/>
        <v>5096</v>
      </c>
      <c r="M19" t="s">
        <v>352</v>
      </c>
    </row>
    <row r="20" spans="2:13" ht="20.399999999999999" customHeight="1">
      <c r="B20" s="23">
        <v>5015</v>
      </c>
      <c r="C20" s="33" t="s">
        <v>36</v>
      </c>
      <c r="D20" s="34" t="s">
        <v>37</v>
      </c>
      <c r="E20" s="26">
        <v>80</v>
      </c>
      <c r="F20" s="27">
        <v>3</v>
      </c>
      <c r="G20" s="20">
        <f t="shared" si="0"/>
        <v>240</v>
      </c>
      <c r="H20" s="28">
        <v>1.5999999999999999</v>
      </c>
      <c r="I20" s="22">
        <f t="shared" si="1"/>
        <v>383.99999999999994</v>
      </c>
      <c r="K20" s="71">
        <f t="shared" si="2"/>
        <v>1.4999999999999998</v>
      </c>
      <c r="L20" t="str">
        <f t="shared" si="3"/>
        <v>5097</v>
      </c>
      <c r="M20" t="s">
        <v>353</v>
      </c>
    </row>
    <row r="21" spans="2:13" ht="20.399999999999999" customHeight="1">
      <c r="B21" s="30">
        <v>5017</v>
      </c>
      <c r="C21" s="31" t="s">
        <v>38</v>
      </c>
      <c r="D21" s="17" t="s">
        <v>39</v>
      </c>
      <c r="E21" s="26">
        <v>45</v>
      </c>
      <c r="F21" s="27">
        <v>1</v>
      </c>
      <c r="G21" s="20">
        <f t="shared" si="0"/>
        <v>45</v>
      </c>
      <c r="H21" s="32">
        <v>1.5999999999999999</v>
      </c>
      <c r="I21" s="22">
        <f t="shared" si="1"/>
        <v>72</v>
      </c>
      <c r="K21" s="71">
        <f t="shared" si="2"/>
        <v>1.4999999999999998</v>
      </c>
      <c r="L21" t="str">
        <f t="shared" si="3"/>
        <v xml:space="preserve">337 </v>
      </c>
      <c r="M21" t="s">
        <v>354</v>
      </c>
    </row>
    <row r="22" spans="2:13" ht="20.399999999999999" customHeight="1">
      <c r="B22" s="23">
        <v>5018</v>
      </c>
      <c r="C22" s="24" t="s">
        <v>40</v>
      </c>
      <c r="D22" s="25" t="s">
        <v>41</v>
      </c>
      <c r="E22" s="26">
        <v>40</v>
      </c>
      <c r="F22" s="27">
        <v>10</v>
      </c>
      <c r="G22" s="20">
        <f t="shared" si="0"/>
        <v>400</v>
      </c>
      <c r="H22" s="28">
        <v>1.5999999999999999</v>
      </c>
      <c r="I22" s="22">
        <f t="shared" si="1"/>
        <v>640</v>
      </c>
      <c r="J22" t="s">
        <v>204</v>
      </c>
      <c r="K22" s="71">
        <f t="shared" si="2"/>
        <v>1.4999999999999998</v>
      </c>
      <c r="L22" t="str">
        <f t="shared" si="3"/>
        <v xml:space="preserve">360 </v>
      </c>
      <c r="M22" t="s">
        <v>355</v>
      </c>
    </row>
    <row r="23" spans="2:13" ht="20.399999999999999" customHeight="1">
      <c r="B23" s="23">
        <v>5020</v>
      </c>
      <c r="C23" s="24" t="s">
        <v>42</v>
      </c>
      <c r="D23" s="17" t="s">
        <v>43</v>
      </c>
      <c r="E23" s="26">
        <v>40</v>
      </c>
      <c r="F23" s="27">
        <v>3</v>
      </c>
      <c r="G23" s="20">
        <f t="shared" si="0"/>
        <v>120</v>
      </c>
      <c r="H23" s="28">
        <v>3</v>
      </c>
      <c r="I23" s="22">
        <f t="shared" si="1"/>
        <v>360</v>
      </c>
      <c r="J23" t="s">
        <v>204</v>
      </c>
      <c r="K23" s="71">
        <f t="shared" si="2"/>
        <v>2.9</v>
      </c>
      <c r="L23" t="str">
        <f t="shared" si="3"/>
        <v>5118</v>
      </c>
      <c r="M23" t="s">
        <v>356</v>
      </c>
    </row>
    <row r="24" spans="2:13" ht="20.399999999999999" customHeight="1">
      <c r="B24" s="35">
        <v>5024</v>
      </c>
      <c r="C24" s="36" t="s">
        <v>44</v>
      </c>
      <c r="D24" s="25" t="s">
        <v>45</v>
      </c>
      <c r="E24" s="37">
        <v>40</v>
      </c>
      <c r="F24" s="38">
        <v>5</v>
      </c>
      <c r="G24" s="20">
        <f t="shared" si="0"/>
        <v>200</v>
      </c>
      <c r="H24" s="39">
        <v>1.5999999999999999</v>
      </c>
      <c r="I24" s="22">
        <f t="shared" si="1"/>
        <v>320</v>
      </c>
      <c r="K24" s="71">
        <f t="shared" si="2"/>
        <v>1.4999999999999998</v>
      </c>
      <c r="L24" t="str">
        <f t="shared" si="3"/>
        <v xml:space="preserve">870 </v>
      </c>
      <c r="M24" t="s">
        <v>357</v>
      </c>
    </row>
    <row r="25" spans="2:13" ht="20.399999999999999" customHeight="1">
      <c r="B25" s="23">
        <v>5025</v>
      </c>
      <c r="C25" s="33" t="s">
        <v>46</v>
      </c>
      <c r="D25" s="40" t="s">
        <v>47</v>
      </c>
      <c r="E25" s="26">
        <v>80</v>
      </c>
      <c r="F25" s="27">
        <v>1</v>
      </c>
      <c r="G25" s="20">
        <f t="shared" si="0"/>
        <v>80</v>
      </c>
      <c r="H25" s="28">
        <v>1.2999999999999998</v>
      </c>
      <c r="I25" s="22">
        <f t="shared" si="1"/>
        <v>103.99999999999999</v>
      </c>
      <c r="J25" t="s">
        <v>204</v>
      </c>
      <c r="K25" s="71">
        <f t="shared" si="2"/>
        <v>1.1999999999999997</v>
      </c>
      <c r="L25" t="str">
        <f t="shared" si="3"/>
        <v>5007</v>
      </c>
      <c r="M25" t="s">
        <v>358</v>
      </c>
    </row>
    <row r="26" spans="2:13" ht="20.399999999999999" customHeight="1">
      <c r="B26" s="23">
        <v>5026</v>
      </c>
      <c r="C26" s="24" t="s">
        <v>48</v>
      </c>
      <c r="D26" s="25" t="s">
        <v>49</v>
      </c>
      <c r="E26" s="26">
        <v>40</v>
      </c>
      <c r="F26" s="27">
        <v>14</v>
      </c>
      <c r="G26" s="20">
        <f t="shared" si="0"/>
        <v>560</v>
      </c>
      <c r="H26" s="28">
        <v>1.5999999999999999</v>
      </c>
      <c r="I26" s="22">
        <f t="shared" si="1"/>
        <v>895.99999999999989</v>
      </c>
      <c r="K26" s="71">
        <f t="shared" si="2"/>
        <v>1.4999999999999998</v>
      </c>
      <c r="L26" t="str">
        <f t="shared" si="3"/>
        <v>5006</v>
      </c>
      <c r="M26" t="s">
        <v>359</v>
      </c>
    </row>
    <row r="27" spans="2:13" ht="20.399999999999999" customHeight="1">
      <c r="B27" s="23">
        <v>5027</v>
      </c>
      <c r="C27" s="24" t="s">
        <v>50</v>
      </c>
      <c r="D27" s="17" t="s">
        <v>51</v>
      </c>
      <c r="E27" s="26">
        <v>40</v>
      </c>
      <c r="F27" s="27">
        <v>5</v>
      </c>
      <c r="G27" s="20">
        <f t="shared" si="0"/>
        <v>200</v>
      </c>
      <c r="H27" s="28">
        <v>2</v>
      </c>
      <c r="I27" s="22">
        <f t="shared" si="1"/>
        <v>400</v>
      </c>
      <c r="J27" t="s">
        <v>204</v>
      </c>
      <c r="K27" s="71">
        <f t="shared" si="2"/>
        <v>1.9</v>
      </c>
      <c r="L27" t="str">
        <f t="shared" si="3"/>
        <v>5122</v>
      </c>
      <c r="M27" t="s">
        <v>360</v>
      </c>
    </row>
    <row r="28" spans="2:13" ht="20.399999999999999" customHeight="1">
      <c r="B28" s="23">
        <v>5036</v>
      </c>
      <c r="C28" s="24" t="s">
        <v>52</v>
      </c>
      <c r="D28" s="25" t="s">
        <v>53</v>
      </c>
      <c r="E28" s="26">
        <v>55</v>
      </c>
      <c r="F28" s="27">
        <v>2</v>
      </c>
      <c r="G28" s="20">
        <f t="shared" si="0"/>
        <v>110</v>
      </c>
      <c r="H28" s="28">
        <v>2</v>
      </c>
      <c r="I28" s="22">
        <f t="shared" si="1"/>
        <v>220</v>
      </c>
      <c r="K28" s="71">
        <f t="shared" si="2"/>
        <v>1.9</v>
      </c>
      <c r="L28" t="str">
        <f t="shared" si="3"/>
        <v xml:space="preserve">303 </v>
      </c>
      <c r="M28" t="s">
        <v>361</v>
      </c>
    </row>
    <row r="29" spans="2:13" ht="20.399999999999999" customHeight="1">
      <c r="B29" s="30">
        <v>5039</v>
      </c>
      <c r="C29" s="31" t="s">
        <v>54</v>
      </c>
      <c r="D29" s="17" t="s">
        <v>55</v>
      </c>
      <c r="E29" s="26">
        <v>45</v>
      </c>
      <c r="F29" s="27">
        <v>10</v>
      </c>
      <c r="G29" s="20">
        <f t="shared" si="0"/>
        <v>450</v>
      </c>
      <c r="H29" s="32">
        <v>1.5999999999999999</v>
      </c>
      <c r="I29" s="22">
        <f t="shared" si="1"/>
        <v>719.99999999999989</v>
      </c>
      <c r="K29" s="71">
        <f t="shared" si="2"/>
        <v>1.4999999999999998</v>
      </c>
    </row>
    <row r="30" spans="2:13" ht="20.399999999999999" customHeight="1">
      <c r="B30" s="30">
        <v>5040</v>
      </c>
      <c r="C30" s="31" t="s">
        <v>56</v>
      </c>
      <c r="D30" s="34" t="s">
        <v>57</v>
      </c>
      <c r="E30" s="26">
        <v>45</v>
      </c>
      <c r="F30" s="27">
        <v>10</v>
      </c>
      <c r="G30" s="20">
        <f t="shared" si="0"/>
        <v>450</v>
      </c>
      <c r="H30" s="32">
        <v>1.5999999999999999</v>
      </c>
      <c r="I30" s="22">
        <f t="shared" si="1"/>
        <v>719.99999999999989</v>
      </c>
      <c r="J30" t="s">
        <v>204</v>
      </c>
      <c r="K30" s="71">
        <f t="shared" si="2"/>
        <v>1.4999999999999998</v>
      </c>
    </row>
    <row r="31" spans="2:13" ht="20.399999999999999" customHeight="1">
      <c r="B31" s="23">
        <v>5041</v>
      </c>
      <c r="C31" s="24" t="s">
        <v>58</v>
      </c>
      <c r="D31" s="17" t="s">
        <v>59</v>
      </c>
      <c r="E31" s="26">
        <v>40</v>
      </c>
      <c r="F31" s="27">
        <v>6</v>
      </c>
      <c r="G31" s="20">
        <f t="shared" si="0"/>
        <v>240</v>
      </c>
      <c r="H31" s="28">
        <v>1.5999999999999999</v>
      </c>
      <c r="I31" s="22">
        <f t="shared" si="1"/>
        <v>383.99999999999994</v>
      </c>
      <c r="J31" t="s">
        <v>204</v>
      </c>
      <c r="K31" s="71">
        <f t="shared" si="2"/>
        <v>1.4999999999999998</v>
      </c>
    </row>
    <row r="32" spans="2:13" ht="20.399999999999999" customHeight="1">
      <c r="B32" s="41">
        <v>5043</v>
      </c>
      <c r="C32" s="42" t="s">
        <v>60</v>
      </c>
      <c r="D32" s="25" t="s">
        <v>61</v>
      </c>
      <c r="E32" s="42">
        <v>40</v>
      </c>
      <c r="F32" s="42">
        <v>4</v>
      </c>
      <c r="G32" s="20">
        <f t="shared" si="0"/>
        <v>160</v>
      </c>
      <c r="H32" s="43">
        <v>1.5999999999999999</v>
      </c>
      <c r="I32" s="22">
        <f t="shared" si="1"/>
        <v>255.99999999999997</v>
      </c>
      <c r="K32" s="71">
        <f t="shared" si="2"/>
        <v>1.4999999999999998</v>
      </c>
    </row>
    <row r="33" spans="2:11" ht="20.399999999999999" customHeight="1">
      <c r="B33" s="30">
        <v>5051</v>
      </c>
      <c r="C33" s="31" t="s">
        <v>62</v>
      </c>
      <c r="D33" s="17" t="s">
        <v>63</v>
      </c>
      <c r="E33" s="26">
        <v>45</v>
      </c>
      <c r="F33" s="27">
        <v>1</v>
      </c>
      <c r="G33" s="20">
        <f t="shared" si="0"/>
        <v>45</v>
      </c>
      <c r="H33" s="32">
        <v>1.5999999999999999</v>
      </c>
      <c r="I33" s="22">
        <f t="shared" si="1"/>
        <v>72</v>
      </c>
      <c r="J33" t="s">
        <v>204</v>
      </c>
      <c r="K33" s="71">
        <f t="shared" si="2"/>
        <v>1.4999999999999998</v>
      </c>
    </row>
    <row r="34" spans="2:11" ht="20.399999999999999" customHeight="1">
      <c r="B34" s="30">
        <v>5052</v>
      </c>
      <c r="C34" s="31" t="s">
        <v>64</v>
      </c>
      <c r="D34" s="34" t="s">
        <v>65</v>
      </c>
      <c r="E34" s="26">
        <v>45</v>
      </c>
      <c r="F34" s="27">
        <v>5</v>
      </c>
      <c r="G34" s="20">
        <f t="shared" si="0"/>
        <v>225</v>
      </c>
      <c r="H34" s="32">
        <v>1.5999999999999999</v>
      </c>
      <c r="I34" s="22">
        <f t="shared" si="1"/>
        <v>359.99999999999994</v>
      </c>
      <c r="J34" t="s">
        <v>204</v>
      </c>
      <c r="K34" s="71">
        <f t="shared" si="2"/>
        <v>1.4999999999999998</v>
      </c>
    </row>
    <row r="35" spans="2:11" ht="20.399999999999999" customHeight="1">
      <c r="B35" s="23">
        <v>5057</v>
      </c>
      <c r="C35" s="24" t="s">
        <v>66</v>
      </c>
      <c r="D35" s="17" t="s">
        <v>67</v>
      </c>
      <c r="E35" s="26">
        <v>40</v>
      </c>
      <c r="F35" s="27">
        <v>2</v>
      </c>
      <c r="G35" s="20">
        <f t="shared" si="0"/>
        <v>80</v>
      </c>
      <c r="H35" s="28">
        <v>2</v>
      </c>
      <c r="I35" s="22">
        <f t="shared" si="1"/>
        <v>160</v>
      </c>
      <c r="J35" t="s">
        <v>204</v>
      </c>
      <c r="K35" s="71">
        <f t="shared" si="2"/>
        <v>1.9</v>
      </c>
    </row>
    <row r="36" spans="2:11" ht="20.399999999999999" customHeight="1">
      <c r="B36" s="23">
        <v>5058</v>
      </c>
      <c r="C36" s="24" t="s">
        <v>68</v>
      </c>
      <c r="D36" s="25" t="s">
        <v>69</v>
      </c>
      <c r="E36" s="26">
        <v>55</v>
      </c>
      <c r="F36" s="27">
        <v>2</v>
      </c>
      <c r="G36" s="20">
        <f t="shared" si="0"/>
        <v>110</v>
      </c>
      <c r="H36" s="28">
        <v>3</v>
      </c>
      <c r="I36" s="22">
        <f t="shared" si="1"/>
        <v>330</v>
      </c>
      <c r="K36" s="71">
        <f t="shared" si="2"/>
        <v>2.9</v>
      </c>
    </row>
    <row r="37" spans="2:11" ht="20.399999999999999" customHeight="1">
      <c r="B37" s="23">
        <v>5060</v>
      </c>
      <c r="C37" s="24" t="s">
        <v>70</v>
      </c>
      <c r="D37" s="17" t="s">
        <v>71</v>
      </c>
      <c r="E37" s="26">
        <v>40</v>
      </c>
      <c r="F37" s="27">
        <v>15</v>
      </c>
      <c r="G37" s="20">
        <f t="shared" si="0"/>
        <v>600</v>
      </c>
      <c r="H37" s="28">
        <v>3</v>
      </c>
      <c r="I37" s="22">
        <f t="shared" si="1"/>
        <v>1800</v>
      </c>
      <c r="K37" s="71">
        <f t="shared" si="2"/>
        <v>2.9</v>
      </c>
    </row>
    <row r="38" spans="2:11" ht="20.399999999999999" customHeight="1">
      <c r="B38" s="23">
        <v>5061</v>
      </c>
      <c r="C38" s="33" t="s">
        <v>72</v>
      </c>
      <c r="D38" s="34" t="s">
        <v>73</v>
      </c>
      <c r="E38" s="26">
        <v>80</v>
      </c>
      <c r="F38" s="27">
        <v>5</v>
      </c>
      <c r="G38" s="20">
        <f t="shared" si="0"/>
        <v>400</v>
      </c>
      <c r="H38" s="28">
        <v>1.2999999999999998</v>
      </c>
      <c r="I38" s="22">
        <f t="shared" si="1"/>
        <v>519.99999999999989</v>
      </c>
      <c r="K38" s="71">
        <f t="shared" si="2"/>
        <v>1.1999999999999997</v>
      </c>
    </row>
    <row r="39" spans="2:11" ht="20.399999999999999" customHeight="1">
      <c r="B39" s="30">
        <v>5062</v>
      </c>
      <c r="C39" s="31" t="s">
        <v>74</v>
      </c>
      <c r="D39" s="17" t="s">
        <v>75</v>
      </c>
      <c r="E39" s="26">
        <v>45</v>
      </c>
      <c r="F39" s="27">
        <v>15</v>
      </c>
      <c r="G39" s="20">
        <f t="shared" si="0"/>
        <v>675</v>
      </c>
      <c r="H39" s="32">
        <v>1.5999999999999999</v>
      </c>
      <c r="I39" s="22">
        <f t="shared" si="1"/>
        <v>1080</v>
      </c>
      <c r="K39" s="71">
        <f t="shared" si="2"/>
        <v>1.4999999999999998</v>
      </c>
    </row>
    <row r="40" spans="2:11" ht="20.399999999999999" customHeight="1">
      <c r="B40" s="23">
        <v>5070</v>
      </c>
      <c r="C40" s="24" t="s">
        <v>76</v>
      </c>
      <c r="D40" s="25" t="s">
        <v>77</v>
      </c>
      <c r="E40" s="26">
        <v>40</v>
      </c>
      <c r="F40" s="27">
        <v>70</v>
      </c>
      <c r="G40" s="20">
        <f t="shared" si="0"/>
        <v>2800</v>
      </c>
      <c r="H40" s="28">
        <v>1.5999999999999999</v>
      </c>
      <c r="I40" s="22">
        <f t="shared" si="1"/>
        <v>4480</v>
      </c>
      <c r="J40" t="s">
        <v>204</v>
      </c>
      <c r="K40" s="71">
        <f t="shared" si="2"/>
        <v>1.4999999999999998</v>
      </c>
    </row>
    <row r="41" spans="2:11" ht="20.399999999999999" customHeight="1">
      <c r="B41" s="23">
        <v>5073</v>
      </c>
      <c r="C41" s="24" t="s">
        <v>78</v>
      </c>
      <c r="D41" s="17" t="s">
        <v>79</v>
      </c>
      <c r="E41" s="26">
        <v>55</v>
      </c>
      <c r="F41" s="27">
        <v>5</v>
      </c>
      <c r="G41" s="20">
        <f t="shared" si="0"/>
        <v>275</v>
      </c>
      <c r="H41" s="28">
        <v>1.5999999999999999</v>
      </c>
      <c r="I41" s="22">
        <f t="shared" si="1"/>
        <v>439.99999999999994</v>
      </c>
      <c r="J41" t="s">
        <v>204</v>
      </c>
      <c r="K41" s="71">
        <f t="shared" si="2"/>
        <v>1.4999999999999998</v>
      </c>
    </row>
    <row r="42" spans="2:11" ht="20.399999999999999" customHeight="1">
      <c r="B42" s="23">
        <v>5074</v>
      </c>
      <c r="C42" s="24" t="s">
        <v>80</v>
      </c>
      <c r="D42" s="25" t="s">
        <v>81</v>
      </c>
      <c r="E42" s="26">
        <v>40</v>
      </c>
      <c r="F42" s="27">
        <v>12</v>
      </c>
      <c r="G42" s="20">
        <f t="shared" si="0"/>
        <v>480</v>
      </c>
      <c r="H42" s="28">
        <v>1.5999999999999999</v>
      </c>
      <c r="I42" s="22">
        <f t="shared" si="1"/>
        <v>767.99999999999989</v>
      </c>
      <c r="J42" t="s">
        <v>204</v>
      </c>
      <c r="K42" s="71">
        <f t="shared" si="2"/>
        <v>1.4999999999999998</v>
      </c>
    </row>
    <row r="43" spans="2:11" ht="20.399999999999999" customHeight="1">
      <c r="B43" s="23">
        <v>5075</v>
      </c>
      <c r="C43" s="24" t="s">
        <v>82</v>
      </c>
      <c r="D43" s="17" t="s">
        <v>83</v>
      </c>
      <c r="E43" s="26">
        <v>40</v>
      </c>
      <c r="F43" s="27">
        <v>23</v>
      </c>
      <c r="G43" s="20">
        <f t="shared" si="0"/>
        <v>920</v>
      </c>
      <c r="H43" s="28">
        <v>1.5999999999999999</v>
      </c>
      <c r="I43" s="22">
        <f t="shared" si="1"/>
        <v>1471.9999999999998</v>
      </c>
      <c r="J43" t="s">
        <v>204</v>
      </c>
      <c r="K43" s="71">
        <f t="shared" si="2"/>
        <v>1.4999999999999998</v>
      </c>
    </row>
    <row r="44" spans="2:11" ht="20.399999999999999" customHeight="1">
      <c r="B44" s="23">
        <v>5076</v>
      </c>
      <c r="C44" s="24" t="s">
        <v>84</v>
      </c>
      <c r="D44" s="25" t="s">
        <v>85</v>
      </c>
      <c r="E44" s="26">
        <v>55</v>
      </c>
      <c r="F44" s="27">
        <v>6</v>
      </c>
      <c r="G44" s="20">
        <f t="shared" si="0"/>
        <v>330</v>
      </c>
      <c r="H44" s="28">
        <v>0.9</v>
      </c>
      <c r="I44" s="22">
        <f t="shared" si="1"/>
        <v>297</v>
      </c>
      <c r="J44" t="s">
        <v>204</v>
      </c>
      <c r="K44" s="71">
        <f t="shared" si="2"/>
        <v>0.8</v>
      </c>
    </row>
    <row r="45" spans="2:11" ht="20.399999999999999" customHeight="1">
      <c r="B45" s="23">
        <v>5078</v>
      </c>
      <c r="C45" s="24" t="s">
        <v>86</v>
      </c>
      <c r="D45" s="17" t="s">
        <v>87</v>
      </c>
      <c r="E45" s="26">
        <v>55</v>
      </c>
      <c r="F45" s="27">
        <v>10</v>
      </c>
      <c r="G45" s="20">
        <f t="shared" si="0"/>
        <v>550</v>
      </c>
      <c r="H45" s="28">
        <v>0.9</v>
      </c>
      <c r="I45" s="22">
        <f t="shared" si="1"/>
        <v>495</v>
      </c>
      <c r="J45" t="s">
        <v>204</v>
      </c>
      <c r="K45" s="71">
        <f t="shared" si="2"/>
        <v>0.8</v>
      </c>
    </row>
    <row r="46" spans="2:11" ht="20.399999999999999" customHeight="1">
      <c r="B46" s="23">
        <v>5079</v>
      </c>
      <c r="C46" s="24" t="s">
        <v>88</v>
      </c>
      <c r="D46" s="25" t="s">
        <v>89</v>
      </c>
      <c r="E46" s="26">
        <v>40</v>
      </c>
      <c r="F46" s="27">
        <v>11</v>
      </c>
      <c r="G46" s="20">
        <f t="shared" si="0"/>
        <v>440</v>
      </c>
      <c r="H46" s="28">
        <v>1.5999999999999999</v>
      </c>
      <c r="I46" s="22">
        <f t="shared" si="1"/>
        <v>703.99999999999989</v>
      </c>
      <c r="J46" t="s">
        <v>204</v>
      </c>
      <c r="K46" s="71">
        <f t="shared" si="2"/>
        <v>1.4999999999999998</v>
      </c>
    </row>
    <row r="47" spans="2:11" ht="20.399999999999999" customHeight="1">
      <c r="B47" s="35">
        <v>5088</v>
      </c>
      <c r="C47" s="36" t="s">
        <v>90</v>
      </c>
      <c r="D47" s="17" t="s">
        <v>91</v>
      </c>
      <c r="E47" s="37">
        <v>40</v>
      </c>
      <c r="F47" s="38">
        <v>2</v>
      </c>
      <c r="G47" s="20">
        <f t="shared" si="0"/>
        <v>80</v>
      </c>
      <c r="H47" s="39">
        <v>1.5999999999999999</v>
      </c>
      <c r="I47" s="22">
        <f t="shared" si="1"/>
        <v>127.99999999999999</v>
      </c>
      <c r="J47" t="s">
        <v>204</v>
      </c>
      <c r="K47" s="71">
        <f t="shared" si="2"/>
        <v>1.4999999999999998</v>
      </c>
    </row>
    <row r="48" spans="2:11" ht="20.399999999999999" customHeight="1">
      <c r="B48" s="23">
        <v>5089</v>
      </c>
      <c r="C48" s="24" t="s">
        <v>92</v>
      </c>
      <c r="D48" s="25" t="s">
        <v>93</v>
      </c>
      <c r="E48" s="26">
        <v>40</v>
      </c>
      <c r="F48" s="27">
        <v>10</v>
      </c>
      <c r="G48" s="20">
        <f t="shared" si="0"/>
        <v>400</v>
      </c>
      <c r="H48" s="28">
        <v>1.5999999999999999</v>
      </c>
      <c r="I48" s="22">
        <f t="shared" si="1"/>
        <v>640</v>
      </c>
      <c r="J48" t="s">
        <v>204</v>
      </c>
      <c r="K48" s="71">
        <f t="shared" si="2"/>
        <v>1.4999999999999998</v>
      </c>
    </row>
    <row r="49" spans="2:11" ht="20.399999999999999" customHeight="1">
      <c r="B49" s="23">
        <v>5090</v>
      </c>
      <c r="C49" s="24" t="s">
        <v>94</v>
      </c>
      <c r="D49" s="17" t="s">
        <v>95</v>
      </c>
      <c r="E49" s="26">
        <v>25</v>
      </c>
      <c r="F49" s="27">
        <v>12</v>
      </c>
      <c r="G49" s="20">
        <f t="shared" si="0"/>
        <v>300</v>
      </c>
      <c r="H49" s="28">
        <v>1.5999999999999999</v>
      </c>
      <c r="I49" s="22">
        <f t="shared" si="1"/>
        <v>479.99999999999994</v>
      </c>
      <c r="J49" t="s">
        <v>204</v>
      </c>
      <c r="K49" s="71">
        <f t="shared" si="2"/>
        <v>1.4999999999999998</v>
      </c>
    </row>
    <row r="50" spans="2:11" ht="20.399999999999999" customHeight="1">
      <c r="B50" s="23">
        <v>5092</v>
      </c>
      <c r="C50" s="24" t="s">
        <v>96</v>
      </c>
      <c r="D50" s="44" t="s">
        <v>97</v>
      </c>
      <c r="E50" s="26">
        <v>100</v>
      </c>
      <c r="F50" s="27">
        <v>1</v>
      </c>
      <c r="G50" s="20">
        <f t="shared" si="0"/>
        <v>100</v>
      </c>
      <c r="H50" s="28">
        <v>0.8</v>
      </c>
      <c r="I50" s="22">
        <f t="shared" si="1"/>
        <v>80</v>
      </c>
      <c r="J50" t="s">
        <v>204</v>
      </c>
      <c r="K50" s="71">
        <f t="shared" si="2"/>
        <v>0.70000000000000007</v>
      </c>
    </row>
    <row r="51" spans="2:11" ht="20.399999999999999" customHeight="1">
      <c r="B51" s="23">
        <v>5093</v>
      </c>
      <c r="C51" s="24" t="s">
        <v>98</v>
      </c>
      <c r="D51" s="17" t="s">
        <v>99</v>
      </c>
      <c r="E51" s="26">
        <v>25</v>
      </c>
      <c r="F51" s="27">
        <v>12</v>
      </c>
      <c r="G51" s="20">
        <f t="shared" si="0"/>
        <v>300</v>
      </c>
      <c r="H51" s="28">
        <v>0.9</v>
      </c>
      <c r="I51" s="22">
        <f t="shared" si="1"/>
        <v>270</v>
      </c>
      <c r="J51" t="s">
        <v>204</v>
      </c>
      <c r="K51" s="71">
        <f t="shared" si="2"/>
        <v>0.8</v>
      </c>
    </row>
    <row r="52" spans="2:11" ht="20.399999999999999" customHeight="1">
      <c r="B52" s="23">
        <v>5094</v>
      </c>
      <c r="C52" s="33" t="s">
        <v>100</v>
      </c>
      <c r="D52" s="34" t="s">
        <v>101</v>
      </c>
      <c r="E52" s="26">
        <v>80</v>
      </c>
      <c r="F52" s="27">
        <v>9</v>
      </c>
      <c r="G52" s="20">
        <f t="shared" si="0"/>
        <v>720</v>
      </c>
      <c r="H52" s="28">
        <v>1.5999999999999999</v>
      </c>
      <c r="I52" s="22">
        <f t="shared" si="1"/>
        <v>1152</v>
      </c>
      <c r="K52" s="71">
        <f t="shared" si="2"/>
        <v>1.4999999999999998</v>
      </c>
    </row>
    <row r="53" spans="2:11" ht="20.399999999999999" customHeight="1">
      <c r="B53" s="23">
        <v>5095</v>
      </c>
      <c r="C53" s="24" t="s">
        <v>102</v>
      </c>
      <c r="D53" s="17" t="s">
        <v>103</v>
      </c>
      <c r="E53" s="26">
        <v>40</v>
      </c>
      <c r="F53" s="27">
        <v>5</v>
      </c>
      <c r="G53" s="20">
        <f t="shared" si="0"/>
        <v>200</v>
      </c>
      <c r="H53" s="28">
        <v>1.5999999999999999</v>
      </c>
      <c r="I53" s="22">
        <f t="shared" si="1"/>
        <v>320</v>
      </c>
      <c r="K53" s="71">
        <f t="shared" si="2"/>
        <v>1.4999999999999998</v>
      </c>
    </row>
    <row r="54" spans="2:11" ht="20.399999999999999" customHeight="1">
      <c r="B54" s="23">
        <v>5096</v>
      </c>
      <c r="C54" s="24" t="s">
        <v>104</v>
      </c>
      <c r="D54" s="25" t="s">
        <v>105</v>
      </c>
      <c r="E54" s="26">
        <v>40</v>
      </c>
      <c r="F54" s="27">
        <v>14</v>
      </c>
      <c r="G54" s="20">
        <f t="shared" si="0"/>
        <v>560</v>
      </c>
      <c r="H54" s="28">
        <v>3</v>
      </c>
      <c r="I54" s="22">
        <f t="shared" si="1"/>
        <v>1680</v>
      </c>
      <c r="J54" t="s">
        <v>204</v>
      </c>
      <c r="K54" s="71">
        <f t="shared" si="2"/>
        <v>2.9</v>
      </c>
    </row>
    <row r="55" spans="2:11" ht="20.399999999999999" customHeight="1">
      <c r="B55" s="30">
        <v>5097</v>
      </c>
      <c r="C55" s="31" t="s">
        <v>106</v>
      </c>
      <c r="D55" s="17" t="s">
        <v>107</v>
      </c>
      <c r="E55" s="26">
        <v>45</v>
      </c>
      <c r="F55" s="27">
        <v>1</v>
      </c>
      <c r="G55" s="20">
        <f t="shared" si="0"/>
        <v>45</v>
      </c>
      <c r="H55" s="32">
        <v>1.5999999999999999</v>
      </c>
      <c r="I55" s="22">
        <f t="shared" si="1"/>
        <v>72</v>
      </c>
      <c r="J55" t="s">
        <v>204</v>
      </c>
      <c r="K55" s="71">
        <f t="shared" si="2"/>
        <v>1.4999999999999998</v>
      </c>
    </row>
    <row r="56" spans="2:11" ht="20.399999999999999" customHeight="1">
      <c r="B56" s="35">
        <v>5099</v>
      </c>
      <c r="C56" s="36" t="s">
        <v>108</v>
      </c>
      <c r="D56" s="25" t="s">
        <v>109</v>
      </c>
      <c r="E56" s="37">
        <v>40</v>
      </c>
      <c r="F56" s="38">
        <v>10</v>
      </c>
      <c r="G56" s="20">
        <f t="shared" si="0"/>
        <v>400</v>
      </c>
      <c r="H56" s="39">
        <v>1.5999999999999999</v>
      </c>
      <c r="I56" s="22">
        <f t="shared" si="1"/>
        <v>640</v>
      </c>
      <c r="K56" s="71">
        <f t="shared" si="2"/>
        <v>1.4999999999999998</v>
      </c>
    </row>
    <row r="57" spans="2:11" ht="20.399999999999999" customHeight="1">
      <c r="B57" s="41">
        <v>5100</v>
      </c>
      <c r="C57" s="42" t="s">
        <v>110</v>
      </c>
      <c r="D57" s="17" t="s">
        <v>111</v>
      </c>
      <c r="E57" s="42">
        <v>40</v>
      </c>
      <c r="F57" s="42">
        <v>1</v>
      </c>
      <c r="G57" s="20">
        <f t="shared" si="0"/>
        <v>40</v>
      </c>
      <c r="H57" s="43">
        <v>3.5</v>
      </c>
      <c r="I57" s="22">
        <f t="shared" si="1"/>
        <v>140</v>
      </c>
      <c r="K57" s="71">
        <f t="shared" si="2"/>
        <v>3.4</v>
      </c>
    </row>
    <row r="58" spans="2:11" ht="20.399999999999999" customHeight="1">
      <c r="B58" s="23">
        <v>5102</v>
      </c>
      <c r="C58" s="24" t="s">
        <v>112</v>
      </c>
      <c r="D58" s="25" t="s">
        <v>113</v>
      </c>
      <c r="E58" s="26">
        <v>40</v>
      </c>
      <c r="F58" s="27">
        <v>5</v>
      </c>
      <c r="G58" s="20">
        <f t="shared" si="0"/>
        <v>200</v>
      </c>
      <c r="H58" s="28">
        <v>3.5</v>
      </c>
      <c r="I58" s="22">
        <f t="shared" si="1"/>
        <v>700</v>
      </c>
      <c r="J58" t="s">
        <v>204</v>
      </c>
      <c r="K58" s="71">
        <f t="shared" si="2"/>
        <v>3.4</v>
      </c>
    </row>
    <row r="59" spans="2:11" ht="20.399999999999999" customHeight="1">
      <c r="B59" s="35">
        <v>5104</v>
      </c>
      <c r="C59" s="45" t="s">
        <v>114</v>
      </c>
      <c r="D59" s="17" t="s">
        <v>115</v>
      </c>
      <c r="E59" s="37">
        <v>40</v>
      </c>
      <c r="F59" s="38">
        <v>1</v>
      </c>
      <c r="G59" s="20">
        <f t="shared" si="0"/>
        <v>40</v>
      </c>
      <c r="H59" s="39">
        <v>1.5999999999999999</v>
      </c>
      <c r="I59" s="22">
        <f t="shared" si="1"/>
        <v>63.999999999999993</v>
      </c>
      <c r="J59" t="s">
        <v>204</v>
      </c>
      <c r="K59" s="71">
        <f t="shared" si="2"/>
        <v>1.4999999999999998</v>
      </c>
    </row>
    <row r="60" spans="2:11" ht="20.399999999999999" customHeight="1">
      <c r="B60" s="23">
        <v>5105</v>
      </c>
      <c r="C60" s="24" t="s">
        <v>116</v>
      </c>
      <c r="D60" s="25" t="s">
        <v>117</v>
      </c>
      <c r="E60" s="26">
        <v>25</v>
      </c>
      <c r="F60" s="27">
        <v>3</v>
      </c>
      <c r="G60" s="20">
        <f t="shared" si="0"/>
        <v>75</v>
      </c>
      <c r="H60" s="28">
        <v>1.5999999999999999</v>
      </c>
      <c r="I60" s="22">
        <f t="shared" si="1"/>
        <v>119.99999999999999</v>
      </c>
      <c r="K60" s="71">
        <f t="shared" si="2"/>
        <v>1.4999999999999998</v>
      </c>
    </row>
    <row r="61" spans="2:11" ht="20.399999999999999" customHeight="1">
      <c r="B61" s="23">
        <v>5106</v>
      </c>
      <c r="C61" s="33" t="s">
        <v>118</v>
      </c>
      <c r="D61" s="34" t="s">
        <v>119</v>
      </c>
      <c r="E61" s="26">
        <v>80</v>
      </c>
      <c r="F61" s="27">
        <v>5</v>
      </c>
      <c r="G61" s="20">
        <f t="shared" si="0"/>
        <v>400</v>
      </c>
      <c r="H61" s="28">
        <v>3</v>
      </c>
      <c r="I61" s="22">
        <f t="shared" si="1"/>
        <v>1200</v>
      </c>
      <c r="K61" s="71">
        <f t="shared" si="2"/>
        <v>2.9</v>
      </c>
    </row>
    <row r="62" spans="2:11" ht="20.399999999999999" customHeight="1">
      <c r="B62" s="23">
        <v>5107</v>
      </c>
      <c r="C62" s="46" t="s">
        <v>120</v>
      </c>
      <c r="D62" s="34" t="s">
        <v>121</v>
      </c>
      <c r="E62" s="26">
        <v>80</v>
      </c>
      <c r="F62" s="27">
        <v>10</v>
      </c>
      <c r="G62" s="20">
        <f t="shared" si="0"/>
        <v>800</v>
      </c>
      <c r="H62" s="28">
        <v>1.2999999999999998</v>
      </c>
      <c r="I62" s="22">
        <f t="shared" si="1"/>
        <v>1039.9999999999998</v>
      </c>
      <c r="K62" s="71">
        <f t="shared" si="2"/>
        <v>1.1999999999999997</v>
      </c>
    </row>
    <row r="63" spans="2:11" ht="20.399999999999999" customHeight="1">
      <c r="B63" s="23">
        <v>5108</v>
      </c>
      <c r="C63" s="24" t="s">
        <v>122</v>
      </c>
      <c r="D63" s="17" t="s">
        <v>123</v>
      </c>
      <c r="E63" s="26">
        <v>40</v>
      </c>
      <c r="F63" s="27">
        <v>3</v>
      </c>
      <c r="G63" s="20">
        <f t="shared" si="0"/>
        <v>120</v>
      </c>
      <c r="H63" s="28">
        <v>1.5999999999999999</v>
      </c>
      <c r="I63" s="22">
        <f t="shared" si="1"/>
        <v>191.99999999999997</v>
      </c>
      <c r="J63" t="s">
        <v>204</v>
      </c>
      <c r="K63" s="71">
        <f t="shared" si="2"/>
        <v>1.4999999999999998</v>
      </c>
    </row>
    <row r="64" spans="2:11" ht="20.399999999999999" customHeight="1">
      <c r="B64" s="30">
        <v>5109</v>
      </c>
      <c r="C64" s="31" t="s">
        <v>124</v>
      </c>
      <c r="D64" s="25" t="s">
        <v>123</v>
      </c>
      <c r="E64" s="26">
        <v>45</v>
      </c>
      <c r="F64" s="27">
        <v>2</v>
      </c>
      <c r="G64" s="20">
        <f t="shared" si="0"/>
        <v>90</v>
      </c>
      <c r="H64" s="32">
        <v>1.5999999999999999</v>
      </c>
      <c r="I64" s="22">
        <f t="shared" si="1"/>
        <v>144</v>
      </c>
      <c r="K64" s="71">
        <f t="shared" si="2"/>
        <v>1.4999999999999998</v>
      </c>
    </row>
    <row r="65" spans="2:11" ht="20.399999999999999" customHeight="1">
      <c r="B65" s="30">
        <v>5110</v>
      </c>
      <c r="C65" s="31" t="s">
        <v>125</v>
      </c>
      <c r="D65" s="17" t="s">
        <v>126</v>
      </c>
      <c r="E65" s="26">
        <v>45</v>
      </c>
      <c r="F65" s="27">
        <v>3</v>
      </c>
      <c r="G65" s="20">
        <f t="shared" si="0"/>
        <v>135</v>
      </c>
      <c r="H65" s="32">
        <v>1.5999999999999999</v>
      </c>
      <c r="I65" s="22">
        <f t="shared" si="1"/>
        <v>215.99999999999997</v>
      </c>
      <c r="J65" t="s">
        <v>204</v>
      </c>
      <c r="K65" s="71">
        <f t="shared" si="2"/>
        <v>1.4999999999999998</v>
      </c>
    </row>
    <row r="66" spans="2:11" ht="20.399999999999999" customHeight="1">
      <c r="B66" s="41">
        <v>5111</v>
      </c>
      <c r="C66" s="42" t="s">
        <v>127</v>
      </c>
      <c r="D66" s="25" t="s">
        <v>128</v>
      </c>
      <c r="E66" s="42">
        <v>40</v>
      </c>
      <c r="F66" s="42">
        <v>39</v>
      </c>
      <c r="G66" s="20">
        <f t="shared" si="0"/>
        <v>1560</v>
      </c>
      <c r="H66" s="43">
        <v>2</v>
      </c>
      <c r="I66" s="22">
        <f t="shared" si="1"/>
        <v>3120</v>
      </c>
      <c r="K66" s="71">
        <f t="shared" si="2"/>
        <v>1.9</v>
      </c>
    </row>
    <row r="67" spans="2:11" ht="20.399999999999999" customHeight="1">
      <c r="B67" s="23">
        <v>5118</v>
      </c>
      <c r="C67" s="24" t="s">
        <v>129</v>
      </c>
      <c r="D67" s="17" t="s">
        <v>130</v>
      </c>
      <c r="E67" s="26">
        <v>25</v>
      </c>
      <c r="F67" s="27">
        <v>4</v>
      </c>
      <c r="G67" s="20">
        <f t="shared" si="0"/>
        <v>100</v>
      </c>
      <c r="H67" s="28">
        <v>3</v>
      </c>
      <c r="I67" s="22">
        <f t="shared" si="1"/>
        <v>300</v>
      </c>
      <c r="J67" t="s">
        <v>204</v>
      </c>
      <c r="K67" s="71">
        <f t="shared" si="2"/>
        <v>2.9</v>
      </c>
    </row>
    <row r="68" spans="2:11" ht="20.399999999999999" customHeight="1">
      <c r="B68" s="23">
        <v>5122</v>
      </c>
      <c r="C68" s="24" t="s">
        <v>131</v>
      </c>
      <c r="D68" s="25" t="s">
        <v>132</v>
      </c>
      <c r="E68" s="26">
        <v>40</v>
      </c>
      <c r="F68" s="27">
        <v>10</v>
      </c>
      <c r="G68" s="20">
        <f t="shared" si="0"/>
        <v>400</v>
      </c>
      <c r="H68" s="28">
        <v>1.5999999999999999</v>
      </c>
      <c r="I68" s="22">
        <f t="shared" si="1"/>
        <v>640</v>
      </c>
      <c r="K68" s="71">
        <f t="shared" si="2"/>
        <v>1.4999999999999998</v>
      </c>
    </row>
    <row r="69" spans="2:11" ht="20.399999999999999" customHeight="1" thickBot="1">
      <c r="B69" s="47">
        <v>400</v>
      </c>
      <c r="C69" s="48" t="s">
        <v>133</v>
      </c>
      <c r="D69" s="25" t="s">
        <v>134</v>
      </c>
      <c r="E69" s="48">
        <v>22</v>
      </c>
      <c r="F69" s="49">
        <v>70</v>
      </c>
      <c r="G69" s="20">
        <f t="shared" si="0"/>
        <v>1540</v>
      </c>
      <c r="H69" s="50">
        <v>3</v>
      </c>
      <c r="I69" s="22">
        <f t="shared" si="1"/>
        <v>4620</v>
      </c>
      <c r="K69" s="71">
        <f t="shared" si="2"/>
        <v>2.9</v>
      </c>
    </row>
    <row r="70" spans="2:11" ht="22.8" customHeight="1" thickBot="1">
      <c r="B70" s="5"/>
      <c r="C70" s="10"/>
      <c r="D70" s="11" t="s">
        <v>135</v>
      </c>
      <c r="E70" s="10"/>
      <c r="F70" s="12"/>
      <c r="G70" s="13"/>
      <c r="H70" s="12"/>
      <c r="I70" s="12"/>
    </row>
    <row r="71" spans="2:11" ht="20.399999999999999">
      <c r="B71" s="51">
        <v>514</v>
      </c>
      <c r="C71" s="52" t="s">
        <v>136</v>
      </c>
      <c r="D71" s="25" t="s">
        <v>137</v>
      </c>
      <c r="E71" s="18">
        <v>80</v>
      </c>
      <c r="F71" s="19">
        <v>2</v>
      </c>
      <c r="G71" s="20">
        <f>E71*F71</f>
        <v>160</v>
      </c>
      <c r="H71" s="21">
        <v>1.5999999999999999</v>
      </c>
      <c r="I71" s="22">
        <f>G71*H71</f>
        <v>255.99999999999997</v>
      </c>
      <c r="K71" s="71">
        <f>H71-0.1</f>
        <v>1.4999999999999998</v>
      </c>
    </row>
    <row r="72" spans="2:11" ht="21" thickBot="1">
      <c r="B72" s="53">
        <v>580</v>
      </c>
      <c r="C72" s="54" t="s">
        <v>138</v>
      </c>
      <c r="D72" s="17" t="s">
        <v>139</v>
      </c>
      <c r="E72" s="55">
        <v>80</v>
      </c>
      <c r="F72" s="56">
        <v>10</v>
      </c>
      <c r="G72" s="20">
        <f>E72*F72</f>
        <v>800</v>
      </c>
      <c r="H72" s="57">
        <v>1.5999999999999999</v>
      </c>
      <c r="I72" s="22">
        <f>G72*H72</f>
        <v>1280</v>
      </c>
      <c r="K72" s="71">
        <f>H72-0.1</f>
        <v>1.4999999999999998</v>
      </c>
    </row>
    <row r="73" spans="2:11" ht="22.8" customHeight="1" thickBot="1">
      <c r="B73" s="5"/>
      <c r="C73" s="10"/>
      <c r="D73" s="58" t="s">
        <v>140</v>
      </c>
      <c r="E73" s="10"/>
      <c r="F73" s="12"/>
      <c r="G73" s="13"/>
      <c r="H73" s="12"/>
      <c r="I73" s="12"/>
    </row>
    <row r="74" spans="2:11" ht="20.399999999999999" customHeight="1">
      <c r="B74" s="51">
        <v>301</v>
      </c>
      <c r="C74" s="16" t="s">
        <v>141</v>
      </c>
      <c r="D74" s="25" t="s">
        <v>13</v>
      </c>
      <c r="E74" s="18">
        <v>45</v>
      </c>
      <c r="F74" s="19">
        <v>20</v>
      </c>
      <c r="G74" s="20">
        <f>E74*F74</f>
        <v>900</v>
      </c>
      <c r="H74" s="21">
        <v>0.79999999999999993</v>
      </c>
      <c r="I74" s="22">
        <f>G74*H74</f>
        <v>719.99999999999989</v>
      </c>
      <c r="J74" t="s">
        <v>204</v>
      </c>
      <c r="K74" s="71">
        <f>H74-0.05</f>
        <v>0.74999999999999989</v>
      </c>
    </row>
    <row r="75" spans="2:11" ht="20.399999999999999" customHeight="1">
      <c r="B75" s="23">
        <v>302</v>
      </c>
      <c r="C75" s="24" t="s">
        <v>142</v>
      </c>
      <c r="D75" s="59" t="s">
        <v>143</v>
      </c>
      <c r="E75" s="26">
        <v>80</v>
      </c>
      <c r="F75" s="27">
        <v>6</v>
      </c>
      <c r="G75" s="20">
        <f t="shared" ref="G75:G97" si="4">E75*F75</f>
        <v>480</v>
      </c>
      <c r="H75" s="28">
        <v>0.59999999999999987</v>
      </c>
      <c r="I75" s="22">
        <f t="shared" ref="I75:I97" si="5">G75*H75</f>
        <v>287.99999999999994</v>
      </c>
      <c r="J75" t="s">
        <v>204</v>
      </c>
      <c r="K75" s="71">
        <f t="shared" ref="K75:K103" si="6">H75-0.05</f>
        <v>0.54999999999999982</v>
      </c>
    </row>
    <row r="76" spans="2:11" ht="20.399999999999999" customHeight="1">
      <c r="B76" s="23">
        <v>303</v>
      </c>
      <c r="C76" s="24" t="s">
        <v>144</v>
      </c>
      <c r="D76" s="25" t="s">
        <v>145</v>
      </c>
      <c r="E76" s="26">
        <v>45</v>
      </c>
      <c r="F76" s="27">
        <v>50</v>
      </c>
      <c r="G76" s="20">
        <f t="shared" si="4"/>
        <v>2250</v>
      </c>
      <c r="H76" s="28">
        <v>0.79999999999999993</v>
      </c>
      <c r="I76" s="22">
        <f t="shared" si="5"/>
        <v>1799.9999999999998</v>
      </c>
      <c r="K76" s="71">
        <f t="shared" si="6"/>
        <v>0.74999999999999989</v>
      </c>
    </row>
    <row r="77" spans="2:11" ht="20.399999999999999" customHeight="1">
      <c r="B77" s="23">
        <v>310</v>
      </c>
      <c r="C77" s="24" t="s">
        <v>146</v>
      </c>
      <c r="D77" s="17" t="s">
        <v>147</v>
      </c>
      <c r="E77" s="26">
        <v>45</v>
      </c>
      <c r="F77" s="27">
        <v>40</v>
      </c>
      <c r="G77" s="20">
        <f t="shared" si="4"/>
        <v>1800</v>
      </c>
      <c r="H77" s="28">
        <v>0.79999999999999993</v>
      </c>
      <c r="I77" s="22">
        <f t="shared" si="5"/>
        <v>1439.9999999999998</v>
      </c>
      <c r="J77" t="s">
        <v>204</v>
      </c>
      <c r="K77" s="71">
        <f t="shared" si="6"/>
        <v>0.74999999999999989</v>
      </c>
    </row>
    <row r="78" spans="2:11" ht="20.399999999999999" customHeight="1">
      <c r="B78" s="41">
        <v>313</v>
      </c>
      <c r="C78" s="42" t="s">
        <v>32</v>
      </c>
      <c r="D78" s="25" t="s">
        <v>35</v>
      </c>
      <c r="E78" s="42">
        <v>40</v>
      </c>
      <c r="F78" s="42">
        <v>5</v>
      </c>
      <c r="G78" s="20">
        <f t="shared" si="4"/>
        <v>200</v>
      </c>
      <c r="H78" s="43">
        <v>0.69999999999999984</v>
      </c>
      <c r="I78" s="22">
        <f t="shared" si="5"/>
        <v>139.99999999999997</v>
      </c>
      <c r="J78" t="s">
        <v>204</v>
      </c>
      <c r="K78" s="71">
        <f t="shared" si="6"/>
        <v>0.6499999999999998</v>
      </c>
    </row>
    <row r="79" spans="2:11" ht="20.399999999999999" customHeight="1">
      <c r="B79" s="41">
        <v>320</v>
      </c>
      <c r="C79" s="42" t="s">
        <v>148</v>
      </c>
      <c r="D79" s="17" t="s">
        <v>149</v>
      </c>
      <c r="E79" s="42">
        <v>40</v>
      </c>
      <c r="F79" s="42">
        <v>5</v>
      </c>
      <c r="G79" s="20">
        <f t="shared" si="4"/>
        <v>200</v>
      </c>
      <c r="H79" s="43">
        <v>0.69999999999999984</v>
      </c>
      <c r="I79" s="22">
        <f t="shared" si="5"/>
        <v>139.99999999999997</v>
      </c>
      <c r="J79" t="s">
        <v>204</v>
      </c>
      <c r="K79" s="71">
        <f t="shared" si="6"/>
        <v>0.6499999999999998</v>
      </c>
    </row>
    <row r="80" spans="2:11" ht="20.399999999999999" customHeight="1">
      <c r="B80" s="23">
        <v>323</v>
      </c>
      <c r="C80" s="24" t="s">
        <v>150</v>
      </c>
      <c r="D80" s="25" t="s">
        <v>151</v>
      </c>
      <c r="E80" s="26">
        <v>55</v>
      </c>
      <c r="F80" s="27">
        <v>15</v>
      </c>
      <c r="G80" s="20">
        <f t="shared" si="4"/>
        <v>825</v>
      </c>
      <c r="H80" s="28">
        <v>0.79999999999999993</v>
      </c>
      <c r="I80" s="22">
        <f t="shared" si="5"/>
        <v>660</v>
      </c>
      <c r="K80" s="71">
        <f t="shared" si="6"/>
        <v>0.74999999999999989</v>
      </c>
    </row>
    <row r="81" spans="2:11" ht="20.399999999999999" customHeight="1">
      <c r="B81" s="41">
        <v>328</v>
      </c>
      <c r="C81" s="42" t="s">
        <v>152</v>
      </c>
      <c r="D81" s="17" t="s">
        <v>153</v>
      </c>
      <c r="E81" s="42">
        <v>40</v>
      </c>
      <c r="F81" s="42">
        <v>48</v>
      </c>
      <c r="G81" s="20">
        <f t="shared" si="4"/>
        <v>1920</v>
      </c>
      <c r="H81" s="43">
        <v>1.2</v>
      </c>
      <c r="I81" s="22">
        <f t="shared" si="5"/>
        <v>2304</v>
      </c>
      <c r="J81" t="s">
        <v>204</v>
      </c>
      <c r="K81" s="71">
        <f t="shared" si="6"/>
        <v>1.1499999999999999</v>
      </c>
    </row>
    <row r="82" spans="2:11" ht="20.399999999999999" customHeight="1">
      <c r="B82" s="23">
        <v>337</v>
      </c>
      <c r="C82" s="24" t="s">
        <v>154</v>
      </c>
      <c r="D82" s="25" t="s">
        <v>155</v>
      </c>
      <c r="E82" s="26">
        <v>55</v>
      </c>
      <c r="F82" s="27">
        <v>58</v>
      </c>
      <c r="G82" s="20">
        <f t="shared" si="4"/>
        <v>3190</v>
      </c>
      <c r="H82" s="28">
        <v>0.64999999999999991</v>
      </c>
      <c r="I82" s="22">
        <f t="shared" si="5"/>
        <v>2073.4999999999995</v>
      </c>
      <c r="J82" t="s">
        <v>204</v>
      </c>
      <c r="K82" s="71">
        <f t="shared" si="6"/>
        <v>0.59999999999999987</v>
      </c>
    </row>
    <row r="83" spans="2:11" ht="20.399999999999999" customHeight="1">
      <c r="B83" s="41">
        <v>340</v>
      </c>
      <c r="C83" s="42" t="s">
        <v>156</v>
      </c>
      <c r="D83" s="17" t="s">
        <v>61</v>
      </c>
      <c r="E83" s="42">
        <v>40</v>
      </c>
      <c r="F83" s="42">
        <v>58</v>
      </c>
      <c r="G83" s="20">
        <f t="shared" si="4"/>
        <v>2320</v>
      </c>
      <c r="H83" s="43">
        <v>0.69999999999999984</v>
      </c>
      <c r="I83" s="22">
        <f t="shared" si="5"/>
        <v>1623.9999999999995</v>
      </c>
      <c r="J83" t="s">
        <v>204</v>
      </c>
      <c r="K83" s="71">
        <f t="shared" si="6"/>
        <v>0.6499999999999998</v>
      </c>
    </row>
    <row r="84" spans="2:11" ht="20.399999999999999" customHeight="1">
      <c r="B84" s="41">
        <v>342</v>
      </c>
      <c r="C84" s="42" t="s">
        <v>157</v>
      </c>
      <c r="D84" s="25" t="s">
        <v>158</v>
      </c>
      <c r="E84" s="42">
        <v>40</v>
      </c>
      <c r="F84" s="42">
        <v>5</v>
      </c>
      <c r="G84" s="20">
        <f t="shared" si="4"/>
        <v>200</v>
      </c>
      <c r="H84" s="43">
        <v>0.69999999999999984</v>
      </c>
      <c r="I84" s="22">
        <f t="shared" si="5"/>
        <v>139.99999999999997</v>
      </c>
      <c r="K84" s="71">
        <f t="shared" si="6"/>
        <v>0.6499999999999998</v>
      </c>
    </row>
    <row r="85" spans="2:11" ht="20.399999999999999" customHeight="1">
      <c r="B85" s="35">
        <v>346</v>
      </c>
      <c r="C85" s="36" t="s">
        <v>159</v>
      </c>
      <c r="D85" s="17" t="s">
        <v>160</v>
      </c>
      <c r="E85" s="37">
        <v>45</v>
      </c>
      <c r="F85" s="38">
        <v>10</v>
      </c>
      <c r="G85" s="20">
        <f t="shared" si="4"/>
        <v>450</v>
      </c>
      <c r="H85" s="39">
        <v>0.7</v>
      </c>
      <c r="I85" s="22">
        <f t="shared" si="5"/>
        <v>315</v>
      </c>
      <c r="J85" t="s">
        <v>204</v>
      </c>
      <c r="K85" s="71">
        <f t="shared" si="6"/>
        <v>0.64999999999999991</v>
      </c>
    </row>
    <row r="86" spans="2:11" ht="20.399999999999999" customHeight="1">
      <c r="B86" s="23">
        <v>350</v>
      </c>
      <c r="C86" s="24" t="s">
        <v>161</v>
      </c>
      <c r="D86" s="25" t="s">
        <v>162</v>
      </c>
      <c r="E86" s="26">
        <v>45</v>
      </c>
      <c r="F86" s="27">
        <v>40</v>
      </c>
      <c r="G86" s="20">
        <f t="shared" si="4"/>
        <v>1800</v>
      </c>
      <c r="H86" s="28">
        <v>0.79999999999999993</v>
      </c>
      <c r="I86" s="22">
        <f t="shared" si="5"/>
        <v>1439.9999999999998</v>
      </c>
      <c r="J86" t="s">
        <v>204</v>
      </c>
      <c r="K86" s="71">
        <f t="shared" si="6"/>
        <v>0.74999999999999989</v>
      </c>
    </row>
    <row r="87" spans="2:11" ht="20.399999999999999" customHeight="1">
      <c r="B87" s="41">
        <v>357</v>
      </c>
      <c r="C87" s="42" t="s">
        <v>163</v>
      </c>
      <c r="D87" s="17" t="s">
        <v>164</v>
      </c>
      <c r="E87" s="42">
        <v>45</v>
      </c>
      <c r="F87" s="42">
        <v>2</v>
      </c>
      <c r="G87" s="20">
        <f t="shared" si="4"/>
        <v>90</v>
      </c>
      <c r="H87" s="43">
        <v>0.69999999999999984</v>
      </c>
      <c r="I87" s="22">
        <f t="shared" si="5"/>
        <v>62.999999999999986</v>
      </c>
      <c r="J87" t="s">
        <v>204</v>
      </c>
      <c r="K87" s="71">
        <f t="shared" si="6"/>
        <v>0.6499999999999998</v>
      </c>
    </row>
    <row r="88" spans="2:11" ht="20.399999999999999" customHeight="1">
      <c r="B88" s="23">
        <v>358</v>
      </c>
      <c r="C88" s="24" t="s">
        <v>165</v>
      </c>
      <c r="D88" s="25" t="s">
        <v>105</v>
      </c>
      <c r="E88" s="26">
        <v>45</v>
      </c>
      <c r="F88" s="27">
        <v>10</v>
      </c>
      <c r="G88" s="20">
        <f t="shared" si="4"/>
        <v>450</v>
      </c>
      <c r="H88" s="28">
        <v>0.79999999999999993</v>
      </c>
      <c r="I88" s="22">
        <f t="shared" si="5"/>
        <v>359.99999999999994</v>
      </c>
      <c r="J88" t="s">
        <v>204</v>
      </c>
      <c r="K88" s="71">
        <f t="shared" si="6"/>
        <v>0.74999999999999989</v>
      </c>
    </row>
    <row r="89" spans="2:11" ht="20.399999999999999" customHeight="1">
      <c r="B89" s="41">
        <v>359</v>
      </c>
      <c r="C89" s="42" t="s">
        <v>166</v>
      </c>
      <c r="D89" s="17" t="s">
        <v>167</v>
      </c>
      <c r="E89" s="42">
        <v>40</v>
      </c>
      <c r="F89" s="42">
        <v>5</v>
      </c>
      <c r="G89" s="20">
        <f t="shared" si="4"/>
        <v>200</v>
      </c>
      <c r="H89" s="43">
        <v>0.69999999999999984</v>
      </c>
      <c r="I89" s="22">
        <f t="shared" si="5"/>
        <v>139.99999999999997</v>
      </c>
      <c r="K89" s="71">
        <f t="shared" si="6"/>
        <v>0.6499999999999998</v>
      </c>
    </row>
    <row r="90" spans="2:11" ht="20.399999999999999" customHeight="1">
      <c r="B90" s="41">
        <v>360</v>
      </c>
      <c r="C90" s="42" t="s">
        <v>168</v>
      </c>
      <c r="D90" s="25" t="s">
        <v>71</v>
      </c>
      <c r="E90" s="42">
        <v>45</v>
      </c>
      <c r="F90" s="27">
        <v>15</v>
      </c>
      <c r="G90" s="20">
        <f t="shared" si="4"/>
        <v>675</v>
      </c>
      <c r="H90" s="43">
        <v>0.69999999999999984</v>
      </c>
      <c r="I90" s="22">
        <f t="shared" si="5"/>
        <v>472.49999999999989</v>
      </c>
      <c r="K90" s="71">
        <f t="shared" si="6"/>
        <v>0.6499999999999998</v>
      </c>
    </row>
    <row r="91" spans="2:11" ht="20.399999999999999" customHeight="1">
      <c r="B91" s="41">
        <v>361</v>
      </c>
      <c r="C91" s="42" t="s">
        <v>169</v>
      </c>
      <c r="D91" s="17" t="s">
        <v>170</v>
      </c>
      <c r="E91" s="42">
        <v>45</v>
      </c>
      <c r="F91" s="42">
        <v>15</v>
      </c>
      <c r="G91" s="20">
        <f t="shared" si="4"/>
        <v>675</v>
      </c>
      <c r="H91" s="43">
        <v>0.69999999999999984</v>
      </c>
      <c r="I91" s="22">
        <f t="shared" si="5"/>
        <v>472.49999999999989</v>
      </c>
      <c r="K91" s="71">
        <f t="shared" si="6"/>
        <v>0.6499999999999998</v>
      </c>
    </row>
    <row r="92" spans="2:11" ht="20.399999999999999" customHeight="1">
      <c r="B92" s="23">
        <v>370</v>
      </c>
      <c r="C92" s="24" t="s">
        <v>171</v>
      </c>
      <c r="D92" s="25" t="s">
        <v>77</v>
      </c>
      <c r="E92" s="26">
        <v>45</v>
      </c>
      <c r="F92" s="27">
        <v>70</v>
      </c>
      <c r="G92" s="20">
        <f t="shared" si="4"/>
        <v>3150</v>
      </c>
      <c r="H92" s="28">
        <v>0.7</v>
      </c>
      <c r="I92" s="22">
        <f t="shared" si="5"/>
        <v>2205</v>
      </c>
      <c r="J92" t="s">
        <v>204</v>
      </c>
      <c r="K92" s="71">
        <f t="shared" si="6"/>
        <v>0.64999999999999991</v>
      </c>
    </row>
    <row r="93" spans="2:11" ht="20.399999999999999" customHeight="1">
      <c r="B93" s="23">
        <v>373</v>
      </c>
      <c r="C93" s="24" t="s">
        <v>78</v>
      </c>
      <c r="D93" s="17" t="s">
        <v>172</v>
      </c>
      <c r="E93" s="26">
        <v>80</v>
      </c>
      <c r="F93" s="27">
        <v>3</v>
      </c>
      <c r="G93" s="20">
        <f t="shared" si="4"/>
        <v>240</v>
      </c>
      <c r="H93" s="28">
        <v>0.59999999999999987</v>
      </c>
      <c r="I93" s="22">
        <f t="shared" si="5"/>
        <v>143.99999999999997</v>
      </c>
      <c r="J93" t="s">
        <v>204</v>
      </c>
      <c r="K93" s="71">
        <f t="shared" si="6"/>
        <v>0.54999999999999982</v>
      </c>
    </row>
    <row r="94" spans="2:11" ht="20.399999999999999" customHeight="1">
      <c r="B94" s="41">
        <v>390</v>
      </c>
      <c r="C94" s="42" t="s">
        <v>173</v>
      </c>
      <c r="D94" s="25" t="s">
        <v>174</v>
      </c>
      <c r="E94" s="42">
        <v>25</v>
      </c>
      <c r="F94" s="42">
        <v>20</v>
      </c>
      <c r="G94" s="20">
        <f t="shared" si="4"/>
        <v>500</v>
      </c>
      <c r="H94" s="43">
        <v>0.69999999999999984</v>
      </c>
      <c r="I94" s="22">
        <f t="shared" si="5"/>
        <v>349.99999999999994</v>
      </c>
      <c r="J94" t="s">
        <v>204</v>
      </c>
      <c r="K94" s="71">
        <f t="shared" si="6"/>
        <v>0.6499999999999998</v>
      </c>
    </row>
    <row r="95" spans="2:11" ht="20.399999999999999" customHeight="1">
      <c r="B95" s="23">
        <v>395</v>
      </c>
      <c r="C95" s="24" t="s">
        <v>175</v>
      </c>
      <c r="D95" s="17" t="s">
        <v>176</v>
      </c>
      <c r="E95" s="26">
        <v>40</v>
      </c>
      <c r="F95" s="27">
        <v>20</v>
      </c>
      <c r="G95" s="20">
        <f t="shared" si="4"/>
        <v>800</v>
      </c>
      <c r="H95" s="28">
        <v>0.79999999999999993</v>
      </c>
      <c r="I95" s="22">
        <f t="shared" si="5"/>
        <v>640</v>
      </c>
      <c r="J95" t="s">
        <v>204</v>
      </c>
      <c r="K95" s="71">
        <f t="shared" si="6"/>
        <v>0.74999999999999989</v>
      </c>
    </row>
    <row r="96" spans="2:11" ht="20.399999999999999" customHeight="1">
      <c r="B96" s="53">
        <v>396</v>
      </c>
      <c r="C96" s="60" t="s">
        <v>177</v>
      </c>
      <c r="D96" s="25" t="s">
        <v>178</v>
      </c>
      <c r="E96" s="55">
        <v>55</v>
      </c>
      <c r="F96" s="56">
        <v>20</v>
      </c>
      <c r="G96" s="20">
        <f t="shared" si="4"/>
        <v>1100</v>
      </c>
      <c r="H96" s="57">
        <v>0.79999999999999993</v>
      </c>
      <c r="I96" s="22">
        <f t="shared" si="5"/>
        <v>879.99999999999989</v>
      </c>
      <c r="K96" s="71">
        <f t="shared" si="6"/>
        <v>0.74999999999999989</v>
      </c>
    </row>
    <row r="97" spans="2:11" ht="20.399999999999999" customHeight="1" thickBot="1">
      <c r="B97" s="61">
        <v>910</v>
      </c>
      <c r="C97" s="62" t="s">
        <v>179</v>
      </c>
      <c r="D97" s="25" t="s">
        <v>180</v>
      </c>
      <c r="E97" s="62">
        <v>22</v>
      </c>
      <c r="F97" s="62">
        <v>142</v>
      </c>
      <c r="G97" s="20">
        <f t="shared" si="4"/>
        <v>3124</v>
      </c>
      <c r="H97" s="63">
        <v>1.0999999999999999</v>
      </c>
      <c r="I97" s="22">
        <f t="shared" si="5"/>
        <v>3436.3999999999996</v>
      </c>
      <c r="J97" t="s">
        <v>204</v>
      </c>
      <c r="K97" s="71">
        <f t="shared" si="6"/>
        <v>1.0499999999999998</v>
      </c>
    </row>
    <row r="98" spans="2:11" ht="23.4" thickBot="1">
      <c r="B98" s="5"/>
      <c r="C98" s="10"/>
      <c r="D98" s="11" t="s">
        <v>181</v>
      </c>
      <c r="E98" s="10"/>
      <c r="F98" s="12"/>
      <c r="G98" s="13"/>
      <c r="H98" s="12"/>
      <c r="I98" s="12"/>
      <c r="K98" s="71"/>
    </row>
    <row r="99" spans="2:11" ht="20.399999999999999" customHeight="1">
      <c r="B99" s="51">
        <v>607</v>
      </c>
      <c r="C99" s="16" t="s">
        <v>182</v>
      </c>
      <c r="D99" s="59" t="s">
        <v>183</v>
      </c>
      <c r="E99" s="18">
        <v>80</v>
      </c>
      <c r="F99" s="19">
        <v>10</v>
      </c>
      <c r="G99" s="20">
        <f>E99*F99</f>
        <v>800</v>
      </c>
      <c r="H99" s="21">
        <v>0.89999999999999991</v>
      </c>
      <c r="I99" s="22">
        <f>G99*H99</f>
        <v>719.99999999999989</v>
      </c>
      <c r="K99" s="71">
        <f t="shared" si="6"/>
        <v>0.84999999999999987</v>
      </c>
    </row>
    <row r="100" spans="2:11" ht="20.399999999999999" customHeight="1">
      <c r="B100" s="23">
        <v>616</v>
      </c>
      <c r="C100" s="33" t="s">
        <v>184</v>
      </c>
      <c r="D100" s="64" t="s">
        <v>185</v>
      </c>
      <c r="E100" s="26">
        <v>80</v>
      </c>
      <c r="F100" s="27">
        <v>28</v>
      </c>
      <c r="G100" s="20">
        <f t="shared" ref="G100:G103" si="7">E100*F100</f>
        <v>2240</v>
      </c>
      <c r="H100" s="28">
        <v>0.59999999999999987</v>
      </c>
      <c r="I100" s="22">
        <f t="shared" ref="I100:I103" si="8">G100*H100</f>
        <v>1343.9999999999998</v>
      </c>
      <c r="K100" s="71">
        <f t="shared" si="6"/>
        <v>0.54999999999999982</v>
      </c>
    </row>
    <row r="101" spans="2:11" ht="20.399999999999999" customHeight="1">
      <c r="B101" s="23">
        <v>640</v>
      </c>
      <c r="C101" s="24" t="s">
        <v>186</v>
      </c>
      <c r="D101" s="17" t="s">
        <v>187</v>
      </c>
      <c r="E101" s="26">
        <v>55</v>
      </c>
      <c r="F101" s="27">
        <v>40</v>
      </c>
      <c r="G101" s="20">
        <f t="shared" si="7"/>
        <v>2200</v>
      </c>
      <c r="H101" s="28">
        <v>1.0599999999999998</v>
      </c>
      <c r="I101" s="22">
        <f t="shared" si="8"/>
        <v>2331.9999999999995</v>
      </c>
      <c r="K101" s="71">
        <f t="shared" si="6"/>
        <v>1.0099999999999998</v>
      </c>
    </row>
    <row r="102" spans="2:11" ht="20.399999999999999" customHeight="1">
      <c r="B102" s="23">
        <v>649</v>
      </c>
      <c r="C102" s="46" t="s">
        <v>188</v>
      </c>
      <c r="D102" s="64" t="s">
        <v>185</v>
      </c>
      <c r="E102" s="26">
        <v>80</v>
      </c>
      <c r="F102" s="27">
        <v>42</v>
      </c>
      <c r="G102" s="20">
        <f t="shared" si="7"/>
        <v>3360</v>
      </c>
      <c r="H102" s="28">
        <v>1.0999999999999999</v>
      </c>
      <c r="I102" s="22">
        <f t="shared" si="8"/>
        <v>3695.9999999999995</v>
      </c>
      <c r="K102" s="71">
        <f t="shared" si="6"/>
        <v>1.0499999999999998</v>
      </c>
    </row>
    <row r="103" spans="2:11" ht="20.399999999999999" customHeight="1">
      <c r="B103" s="23">
        <v>680</v>
      </c>
      <c r="C103" s="24" t="s">
        <v>189</v>
      </c>
      <c r="D103" s="59" t="s">
        <v>139</v>
      </c>
      <c r="E103" s="26">
        <v>80</v>
      </c>
      <c r="F103" s="27">
        <v>10</v>
      </c>
      <c r="G103" s="20">
        <f t="shared" si="7"/>
        <v>800</v>
      </c>
      <c r="H103" s="28">
        <v>0.7</v>
      </c>
      <c r="I103" s="22">
        <f t="shared" si="8"/>
        <v>560</v>
      </c>
      <c r="K103" s="71">
        <f t="shared" si="6"/>
        <v>0.64999999999999991</v>
      </c>
    </row>
    <row r="104" spans="2:11" ht="22.8" customHeight="1">
      <c r="B104" s="65"/>
      <c r="C104" s="66"/>
      <c r="D104" s="72" t="s">
        <v>190</v>
      </c>
      <c r="E104" s="72"/>
      <c r="F104" s="72"/>
      <c r="G104" s="72"/>
      <c r="H104" s="67"/>
      <c r="I104" s="68"/>
    </row>
    <row r="105" spans="2:11" ht="20.399999999999999" customHeight="1">
      <c r="B105" s="30">
        <v>405</v>
      </c>
      <c r="C105" s="31" t="s">
        <v>191</v>
      </c>
      <c r="D105" s="17" t="s">
        <v>192</v>
      </c>
      <c r="E105" s="26">
        <v>25</v>
      </c>
      <c r="F105" s="27">
        <v>5</v>
      </c>
      <c r="G105" s="69">
        <f>E105*F105</f>
        <v>125</v>
      </c>
      <c r="H105" s="32">
        <v>2.5</v>
      </c>
      <c r="I105" s="70">
        <f>G105*H105</f>
        <v>312.5</v>
      </c>
      <c r="J105" t="s">
        <v>204</v>
      </c>
      <c r="K105" s="71">
        <f>H105-0.1</f>
        <v>2.4</v>
      </c>
    </row>
    <row r="106" spans="2:11" ht="20.399999999999999" customHeight="1">
      <c r="B106" s="30">
        <v>435</v>
      </c>
      <c r="C106" s="31" t="s">
        <v>193</v>
      </c>
      <c r="D106" s="25" t="s">
        <v>194</v>
      </c>
      <c r="E106" s="26">
        <v>10</v>
      </c>
      <c r="F106" s="27">
        <v>13</v>
      </c>
      <c r="G106" s="69">
        <f t="shared" ref="G106:G110" si="9">E106*F106</f>
        <v>130</v>
      </c>
      <c r="H106" s="32">
        <v>2.5</v>
      </c>
      <c r="I106" s="70">
        <f t="shared" ref="I106:I110" si="10">G106*H106</f>
        <v>325</v>
      </c>
      <c r="K106" s="71">
        <f t="shared" ref="K106:K110" si="11">H106-0.1</f>
        <v>2.4</v>
      </c>
    </row>
    <row r="107" spans="2:11" ht="20.399999999999999" customHeight="1">
      <c r="B107" s="23">
        <v>850</v>
      </c>
      <c r="C107" s="24" t="s">
        <v>195</v>
      </c>
      <c r="D107" s="17" t="s">
        <v>196</v>
      </c>
      <c r="E107" s="26">
        <v>15</v>
      </c>
      <c r="F107" s="27">
        <v>20</v>
      </c>
      <c r="G107" s="69">
        <f t="shared" si="9"/>
        <v>300</v>
      </c>
      <c r="H107" s="28">
        <v>0.65</v>
      </c>
      <c r="I107" s="70">
        <f t="shared" si="10"/>
        <v>195</v>
      </c>
      <c r="J107" t="s">
        <v>204</v>
      </c>
      <c r="K107" s="71">
        <f t="shared" si="11"/>
        <v>0.55000000000000004</v>
      </c>
    </row>
    <row r="108" spans="2:11" ht="20.399999999999999" customHeight="1">
      <c r="B108" s="23">
        <v>865</v>
      </c>
      <c r="C108" s="24" t="s">
        <v>197</v>
      </c>
      <c r="D108" s="25" t="s">
        <v>198</v>
      </c>
      <c r="E108" s="26">
        <v>20</v>
      </c>
      <c r="F108" s="27">
        <v>60</v>
      </c>
      <c r="G108" s="69">
        <f t="shared" si="9"/>
        <v>1200</v>
      </c>
      <c r="H108" s="28">
        <v>0.60000000000000009</v>
      </c>
      <c r="I108" s="70">
        <f t="shared" si="10"/>
        <v>720.00000000000011</v>
      </c>
      <c r="J108" t="s">
        <v>204</v>
      </c>
      <c r="K108" s="71">
        <f t="shared" si="11"/>
        <v>0.50000000000000011</v>
      </c>
    </row>
    <row r="109" spans="2:11" ht="20.399999999999999" customHeight="1">
      <c r="B109" s="23">
        <v>870</v>
      </c>
      <c r="C109" s="24" t="s">
        <v>199</v>
      </c>
      <c r="D109" s="17" t="s">
        <v>200</v>
      </c>
      <c r="E109" s="26">
        <v>200</v>
      </c>
      <c r="F109" s="27">
        <v>1</v>
      </c>
      <c r="G109" s="69">
        <f t="shared" si="9"/>
        <v>200</v>
      </c>
      <c r="H109" s="28">
        <v>2.2999999999999998</v>
      </c>
      <c r="I109" s="70">
        <f t="shared" si="10"/>
        <v>459.99999999999994</v>
      </c>
      <c r="J109" t="s">
        <v>204</v>
      </c>
      <c r="K109" s="71">
        <f t="shared" si="11"/>
        <v>2.1999999999999997</v>
      </c>
    </row>
    <row r="110" spans="2:11" ht="20.399999999999999" customHeight="1">
      <c r="B110" s="23">
        <v>1025</v>
      </c>
      <c r="C110" s="24" t="s">
        <v>201</v>
      </c>
      <c r="D110" s="17" t="s">
        <v>202</v>
      </c>
      <c r="E110" s="26">
        <v>25</v>
      </c>
      <c r="F110" s="27">
        <v>3</v>
      </c>
      <c r="G110" s="69">
        <f t="shared" si="9"/>
        <v>75</v>
      </c>
      <c r="H110" s="28">
        <v>1.5999999999999999</v>
      </c>
      <c r="I110" s="70">
        <f t="shared" si="10"/>
        <v>119.99999999999999</v>
      </c>
      <c r="J110" t="s">
        <v>204</v>
      </c>
      <c r="K110" s="71">
        <f t="shared" si="11"/>
        <v>1.4999999999999998</v>
      </c>
    </row>
    <row r="111" spans="2:11" ht="14.4" thickBot="1"/>
    <row r="112" spans="2:11" ht="23.4" thickBot="1">
      <c r="C112" s="1"/>
      <c r="D112" s="2" t="s">
        <v>0</v>
      </c>
    </row>
    <row r="113" spans="2:7" ht="14.4" thickBot="1">
      <c r="C113" s="1"/>
    </row>
    <row r="114" spans="2:7" ht="35.4" thickBot="1">
      <c r="B114" s="4" t="s">
        <v>1</v>
      </c>
      <c r="C114" s="5" t="s">
        <v>2</v>
      </c>
      <c r="D114" s="4" t="s">
        <v>3</v>
      </c>
      <c r="E114" s="6" t="s">
        <v>339</v>
      </c>
      <c r="F114" s="7" t="s">
        <v>336</v>
      </c>
      <c r="G114" s="8" t="s">
        <v>337</v>
      </c>
    </row>
    <row r="115" spans="2:7" ht="14.4" thickBot="1">
      <c r="B115" s="5"/>
      <c r="C115" s="10"/>
      <c r="D115" s="138" t="s">
        <v>334</v>
      </c>
      <c r="E115" s="10"/>
      <c r="F115" s="12"/>
      <c r="G115" s="13"/>
    </row>
    <row r="116" spans="2:7" ht="18">
      <c r="B116" s="15">
        <v>5000</v>
      </c>
      <c r="C116" s="16" t="s">
        <v>10</v>
      </c>
      <c r="D116" t="s">
        <v>248</v>
      </c>
      <c r="E116" s="18">
        <v>40</v>
      </c>
      <c r="F116" s="19">
        <v>5</v>
      </c>
      <c r="G116" s="20">
        <f t="shared" ref="G116:G178" si="12">E116*F116</f>
        <v>200</v>
      </c>
    </row>
    <row r="117" spans="2:7" ht="18">
      <c r="B117" s="23">
        <v>5001</v>
      </c>
      <c r="C117" s="24" t="s">
        <v>12</v>
      </c>
      <c r="D117" t="s">
        <v>249</v>
      </c>
      <c r="E117" s="26">
        <v>65</v>
      </c>
      <c r="F117" s="27">
        <v>6</v>
      </c>
      <c r="G117" s="20">
        <f t="shared" si="12"/>
        <v>390</v>
      </c>
    </row>
    <row r="118" spans="2:7" ht="18">
      <c r="B118" s="23">
        <v>5002</v>
      </c>
      <c r="C118" s="24" t="s">
        <v>14</v>
      </c>
      <c r="D118" t="s">
        <v>250</v>
      </c>
      <c r="E118" s="26">
        <v>40</v>
      </c>
      <c r="F118" s="27">
        <v>5</v>
      </c>
      <c r="G118" s="20">
        <f t="shared" si="12"/>
        <v>200</v>
      </c>
    </row>
    <row r="119" spans="2:7" ht="18">
      <c r="B119" s="29">
        <v>5003</v>
      </c>
      <c r="C119" s="24" t="s">
        <v>16</v>
      </c>
      <c r="D119" t="s">
        <v>251</v>
      </c>
      <c r="E119" s="26">
        <v>40</v>
      </c>
      <c r="F119" s="27">
        <v>35</v>
      </c>
      <c r="G119" s="20">
        <f t="shared" si="12"/>
        <v>1400</v>
      </c>
    </row>
    <row r="120" spans="2:7" ht="18">
      <c r="B120" s="30">
        <v>5006</v>
      </c>
      <c r="C120" s="31" t="s">
        <v>18</v>
      </c>
      <c r="D120" t="s">
        <v>252</v>
      </c>
      <c r="E120" s="26">
        <v>45</v>
      </c>
      <c r="F120" s="27">
        <v>10</v>
      </c>
      <c r="G120" s="20">
        <f t="shared" si="12"/>
        <v>450</v>
      </c>
    </row>
    <row r="121" spans="2:7" ht="18">
      <c r="B121" s="23">
        <v>5007</v>
      </c>
      <c r="C121" s="24" t="s">
        <v>20</v>
      </c>
      <c r="D121" t="s">
        <v>253</v>
      </c>
      <c r="E121" s="26">
        <v>40</v>
      </c>
      <c r="F121" s="27">
        <v>15</v>
      </c>
      <c r="G121" s="20">
        <f t="shared" si="12"/>
        <v>600</v>
      </c>
    </row>
    <row r="122" spans="2:7" ht="18">
      <c r="B122" s="23">
        <v>5008</v>
      </c>
      <c r="C122" s="24" t="s">
        <v>22</v>
      </c>
      <c r="D122" t="s">
        <v>254</v>
      </c>
      <c r="E122" s="26">
        <v>40</v>
      </c>
      <c r="F122" s="27">
        <v>3</v>
      </c>
      <c r="G122" s="20">
        <f t="shared" si="12"/>
        <v>120</v>
      </c>
    </row>
    <row r="123" spans="2:7" ht="18">
      <c r="B123" s="23">
        <v>5009</v>
      </c>
      <c r="C123" s="24" t="s">
        <v>24</v>
      </c>
      <c r="D123" t="s">
        <v>255</v>
      </c>
      <c r="E123" s="26">
        <v>55</v>
      </c>
      <c r="F123" s="27">
        <v>8</v>
      </c>
      <c r="G123" s="20">
        <f t="shared" si="12"/>
        <v>440</v>
      </c>
    </row>
    <row r="124" spans="2:7" ht="18">
      <c r="B124" s="30">
        <v>5010</v>
      </c>
      <c r="C124" s="31" t="s">
        <v>26</v>
      </c>
      <c r="D124" t="s">
        <v>256</v>
      </c>
      <c r="E124" s="26">
        <v>45</v>
      </c>
      <c r="F124" s="27">
        <v>15</v>
      </c>
      <c r="G124" s="20">
        <f t="shared" si="12"/>
        <v>675</v>
      </c>
    </row>
    <row r="125" spans="2:7" ht="18">
      <c r="B125" s="30">
        <v>5011</v>
      </c>
      <c r="C125" s="31" t="s">
        <v>28</v>
      </c>
      <c r="D125" t="s">
        <v>257</v>
      </c>
      <c r="E125" s="26">
        <v>45</v>
      </c>
      <c r="F125" s="27">
        <v>4</v>
      </c>
      <c r="G125" s="20">
        <f t="shared" si="12"/>
        <v>180</v>
      </c>
    </row>
    <row r="126" spans="2:7" ht="18">
      <c r="B126" s="23">
        <v>5012</v>
      </c>
      <c r="C126" s="24" t="s">
        <v>30</v>
      </c>
      <c r="D126" t="s">
        <v>31</v>
      </c>
      <c r="E126" s="26">
        <v>40</v>
      </c>
      <c r="F126" s="27">
        <v>10</v>
      </c>
      <c r="G126" s="20">
        <f t="shared" si="12"/>
        <v>400</v>
      </c>
    </row>
    <row r="127" spans="2:7" ht="18">
      <c r="B127" s="23">
        <v>5013</v>
      </c>
      <c r="C127" s="24" t="s">
        <v>32</v>
      </c>
      <c r="D127" t="s">
        <v>258</v>
      </c>
      <c r="E127" s="26">
        <v>40</v>
      </c>
      <c r="F127" s="27">
        <v>2</v>
      </c>
      <c r="G127" s="20">
        <f t="shared" si="12"/>
        <v>80</v>
      </c>
    </row>
    <row r="128" spans="2:7" ht="18">
      <c r="B128" s="23">
        <v>5014</v>
      </c>
      <c r="C128" s="24" t="s">
        <v>34</v>
      </c>
      <c r="D128" t="s">
        <v>259</v>
      </c>
      <c r="E128" s="26">
        <v>55</v>
      </c>
      <c r="F128" s="27">
        <v>4</v>
      </c>
      <c r="G128" s="20">
        <f t="shared" si="12"/>
        <v>220</v>
      </c>
    </row>
    <row r="129" spans="2:7" ht="18">
      <c r="B129" s="23">
        <v>5015</v>
      </c>
      <c r="C129" s="33" t="s">
        <v>36</v>
      </c>
      <c r="D129" t="s">
        <v>260</v>
      </c>
      <c r="E129" s="26">
        <v>80</v>
      </c>
      <c r="F129" s="27">
        <v>3</v>
      </c>
      <c r="G129" s="20">
        <f t="shared" si="12"/>
        <v>240</v>
      </c>
    </row>
    <row r="130" spans="2:7" ht="18">
      <c r="B130" s="30">
        <v>5017</v>
      </c>
      <c r="C130" s="31" t="s">
        <v>38</v>
      </c>
      <c r="D130" t="s">
        <v>261</v>
      </c>
      <c r="E130" s="26">
        <v>45</v>
      </c>
      <c r="F130" s="27">
        <v>1</v>
      </c>
      <c r="G130" s="20">
        <f t="shared" si="12"/>
        <v>45</v>
      </c>
    </row>
    <row r="131" spans="2:7" ht="18">
      <c r="B131" s="23">
        <v>5018</v>
      </c>
      <c r="C131" s="24" t="s">
        <v>40</v>
      </c>
      <c r="D131" t="s">
        <v>262</v>
      </c>
      <c r="E131" s="26">
        <v>40</v>
      </c>
      <c r="F131" s="27">
        <v>10</v>
      </c>
      <c r="G131" s="20">
        <f t="shared" si="12"/>
        <v>400</v>
      </c>
    </row>
    <row r="132" spans="2:7" ht="18">
      <c r="B132" s="23">
        <v>5020</v>
      </c>
      <c r="C132" s="24" t="s">
        <v>42</v>
      </c>
      <c r="D132" t="s">
        <v>263</v>
      </c>
      <c r="E132" s="26">
        <v>40</v>
      </c>
      <c r="F132" s="27">
        <v>3</v>
      </c>
      <c r="G132" s="20">
        <f t="shared" si="12"/>
        <v>120</v>
      </c>
    </row>
    <row r="133" spans="2:7" ht="18">
      <c r="B133" s="35">
        <v>5024</v>
      </c>
      <c r="C133" s="36" t="s">
        <v>44</v>
      </c>
      <c r="D133" t="s">
        <v>264</v>
      </c>
      <c r="E133" s="37">
        <v>40</v>
      </c>
      <c r="F133" s="38">
        <v>5</v>
      </c>
      <c r="G133" s="20">
        <f t="shared" si="12"/>
        <v>200</v>
      </c>
    </row>
    <row r="134" spans="2:7" ht="18">
      <c r="B134" s="23">
        <v>5025</v>
      </c>
      <c r="C134" s="33" t="s">
        <v>46</v>
      </c>
      <c r="D134" t="s">
        <v>265</v>
      </c>
      <c r="E134" s="26">
        <v>80</v>
      </c>
      <c r="F134" s="27">
        <v>1</v>
      </c>
      <c r="G134" s="20">
        <f t="shared" si="12"/>
        <v>80</v>
      </c>
    </row>
    <row r="135" spans="2:7" ht="18">
      <c r="B135" s="23">
        <v>5026</v>
      </c>
      <c r="C135" s="24" t="s">
        <v>48</v>
      </c>
      <c r="D135" t="s">
        <v>266</v>
      </c>
      <c r="E135" s="26">
        <v>40</v>
      </c>
      <c r="F135" s="27">
        <v>14</v>
      </c>
      <c r="G135" s="20">
        <f t="shared" si="12"/>
        <v>560</v>
      </c>
    </row>
    <row r="136" spans="2:7" ht="18">
      <c r="B136" s="23">
        <v>5027</v>
      </c>
      <c r="C136" s="24" t="s">
        <v>50</v>
      </c>
      <c r="D136" t="s">
        <v>267</v>
      </c>
      <c r="E136" s="26">
        <v>40</v>
      </c>
      <c r="F136" s="27">
        <v>5</v>
      </c>
      <c r="G136" s="20">
        <f t="shared" si="12"/>
        <v>200</v>
      </c>
    </row>
    <row r="137" spans="2:7" ht="18">
      <c r="B137" s="23">
        <v>5036</v>
      </c>
      <c r="C137" s="24" t="s">
        <v>52</v>
      </c>
      <c r="D137" t="s">
        <v>53</v>
      </c>
      <c r="E137" s="26">
        <v>55</v>
      </c>
      <c r="F137" s="27">
        <v>2</v>
      </c>
      <c r="G137" s="20">
        <f t="shared" si="12"/>
        <v>110</v>
      </c>
    </row>
    <row r="138" spans="2:7" ht="18">
      <c r="B138" s="30">
        <v>5039</v>
      </c>
      <c r="C138" s="31" t="s">
        <v>54</v>
      </c>
      <c r="D138" t="s">
        <v>268</v>
      </c>
      <c r="E138" s="26">
        <v>45</v>
      </c>
      <c r="F138" s="27">
        <v>10</v>
      </c>
      <c r="G138" s="20">
        <f t="shared" si="12"/>
        <v>450</v>
      </c>
    </row>
    <row r="139" spans="2:7" ht="18">
      <c r="B139" s="30">
        <v>5040</v>
      </c>
      <c r="C139" s="31" t="s">
        <v>56</v>
      </c>
      <c r="D139" t="s">
        <v>269</v>
      </c>
      <c r="E139" s="26">
        <v>45</v>
      </c>
      <c r="F139" s="27">
        <v>10</v>
      </c>
      <c r="G139" s="20">
        <f t="shared" si="12"/>
        <v>450</v>
      </c>
    </row>
    <row r="140" spans="2:7" ht="18">
      <c r="B140" s="23">
        <v>5041</v>
      </c>
      <c r="C140" s="24" t="s">
        <v>58</v>
      </c>
      <c r="D140" t="s">
        <v>270</v>
      </c>
      <c r="E140" s="26">
        <v>40</v>
      </c>
      <c r="F140" s="27">
        <v>6</v>
      </c>
      <c r="G140" s="20">
        <f t="shared" si="12"/>
        <v>240</v>
      </c>
    </row>
    <row r="141" spans="2:7" ht="18">
      <c r="B141" s="41">
        <v>5043</v>
      </c>
      <c r="C141" s="42" t="s">
        <v>60</v>
      </c>
      <c r="D141" t="s">
        <v>61</v>
      </c>
      <c r="E141" s="42">
        <v>40</v>
      </c>
      <c r="F141" s="42">
        <v>4</v>
      </c>
      <c r="G141" s="20">
        <f t="shared" si="12"/>
        <v>160</v>
      </c>
    </row>
    <row r="142" spans="2:7" ht="18">
      <c r="B142" s="30">
        <v>5051</v>
      </c>
      <c r="C142" s="31" t="s">
        <v>62</v>
      </c>
      <c r="D142" t="s">
        <v>271</v>
      </c>
      <c r="E142" s="26">
        <v>45</v>
      </c>
      <c r="F142" s="27">
        <v>1</v>
      </c>
      <c r="G142" s="20">
        <f t="shared" si="12"/>
        <v>45</v>
      </c>
    </row>
    <row r="143" spans="2:7" ht="18">
      <c r="B143" s="30">
        <v>5052</v>
      </c>
      <c r="C143" s="31" t="s">
        <v>64</v>
      </c>
      <c r="D143" t="s">
        <v>272</v>
      </c>
      <c r="E143" s="26">
        <v>45</v>
      </c>
      <c r="F143" s="27">
        <v>5</v>
      </c>
      <c r="G143" s="20">
        <f t="shared" si="12"/>
        <v>225</v>
      </c>
    </row>
    <row r="144" spans="2:7" ht="18">
      <c r="B144" s="23">
        <v>5057</v>
      </c>
      <c r="C144" s="24" t="s">
        <v>66</v>
      </c>
      <c r="D144" t="s">
        <v>273</v>
      </c>
      <c r="E144" s="26">
        <v>40</v>
      </c>
      <c r="F144" s="27">
        <v>2</v>
      </c>
      <c r="G144" s="20">
        <f t="shared" si="12"/>
        <v>80</v>
      </c>
    </row>
    <row r="145" spans="2:7" ht="18">
      <c r="B145" s="23">
        <v>5058</v>
      </c>
      <c r="C145" s="24" t="s">
        <v>68</v>
      </c>
      <c r="D145" t="s">
        <v>274</v>
      </c>
      <c r="E145" s="26">
        <v>55</v>
      </c>
      <c r="F145" s="27">
        <v>2</v>
      </c>
      <c r="G145" s="20">
        <f t="shared" si="12"/>
        <v>110</v>
      </c>
    </row>
    <row r="146" spans="2:7" ht="18">
      <c r="B146" s="23">
        <v>5060</v>
      </c>
      <c r="C146" s="24" t="s">
        <v>70</v>
      </c>
      <c r="D146" t="s">
        <v>275</v>
      </c>
      <c r="E146" s="26">
        <v>40</v>
      </c>
      <c r="F146" s="27">
        <v>15</v>
      </c>
      <c r="G146" s="20">
        <f t="shared" si="12"/>
        <v>600</v>
      </c>
    </row>
    <row r="147" spans="2:7" ht="18">
      <c r="B147" s="23">
        <v>5061</v>
      </c>
      <c r="C147" s="33" t="s">
        <v>72</v>
      </c>
      <c r="D147" t="s">
        <v>276</v>
      </c>
      <c r="E147" s="26">
        <v>80</v>
      </c>
      <c r="F147" s="27">
        <v>5</v>
      </c>
      <c r="G147" s="20">
        <f t="shared" si="12"/>
        <v>400</v>
      </c>
    </row>
    <row r="148" spans="2:7" ht="18">
      <c r="B148" s="30">
        <v>5062</v>
      </c>
      <c r="C148" s="31" t="s">
        <v>74</v>
      </c>
      <c r="D148" t="s">
        <v>277</v>
      </c>
      <c r="E148" s="26">
        <v>45</v>
      </c>
      <c r="F148" s="27">
        <v>15</v>
      </c>
      <c r="G148" s="20">
        <f t="shared" si="12"/>
        <v>675</v>
      </c>
    </row>
    <row r="149" spans="2:7" ht="18">
      <c r="B149" s="23">
        <v>5070</v>
      </c>
      <c r="C149" s="24" t="s">
        <v>76</v>
      </c>
      <c r="D149" t="s">
        <v>278</v>
      </c>
      <c r="E149" s="26">
        <v>40</v>
      </c>
      <c r="F149" s="27">
        <v>70</v>
      </c>
      <c r="G149" s="20">
        <f t="shared" si="12"/>
        <v>2800</v>
      </c>
    </row>
    <row r="150" spans="2:7" ht="18">
      <c r="B150" s="23">
        <v>5073</v>
      </c>
      <c r="C150" s="24" t="s">
        <v>78</v>
      </c>
      <c r="D150" t="s">
        <v>79</v>
      </c>
      <c r="E150" s="26">
        <v>55</v>
      </c>
      <c r="F150" s="27">
        <v>5</v>
      </c>
      <c r="G150" s="20">
        <f t="shared" si="12"/>
        <v>275</v>
      </c>
    </row>
    <row r="151" spans="2:7" ht="18">
      <c r="B151" s="23">
        <v>5074</v>
      </c>
      <c r="C151" s="24" t="s">
        <v>80</v>
      </c>
      <c r="D151" t="s">
        <v>279</v>
      </c>
      <c r="E151" s="26">
        <v>40</v>
      </c>
      <c r="F151" s="27">
        <v>12</v>
      </c>
      <c r="G151" s="20">
        <f t="shared" si="12"/>
        <v>480</v>
      </c>
    </row>
    <row r="152" spans="2:7" ht="18">
      <c r="B152" s="23">
        <v>5075</v>
      </c>
      <c r="C152" s="24" t="s">
        <v>82</v>
      </c>
      <c r="D152" t="s">
        <v>280</v>
      </c>
      <c r="E152" s="26">
        <v>40</v>
      </c>
      <c r="F152" s="27">
        <v>23</v>
      </c>
      <c r="G152" s="20">
        <f t="shared" si="12"/>
        <v>920</v>
      </c>
    </row>
    <row r="153" spans="2:7" ht="18">
      <c r="B153" s="23">
        <v>5076</v>
      </c>
      <c r="C153" s="24" t="s">
        <v>84</v>
      </c>
      <c r="D153" t="s">
        <v>85</v>
      </c>
      <c r="E153" s="26">
        <v>55</v>
      </c>
      <c r="F153" s="27">
        <v>6</v>
      </c>
      <c r="G153" s="20">
        <f t="shared" si="12"/>
        <v>330</v>
      </c>
    </row>
    <row r="154" spans="2:7" ht="18">
      <c r="B154" s="23">
        <v>5078</v>
      </c>
      <c r="C154" s="24" t="s">
        <v>86</v>
      </c>
      <c r="D154" t="s">
        <v>87</v>
      </c>
      <c r="E154" s="26">
        <v>55</v>
      </c>
      <c r="F154" s="27">
        <v>10</v>
      </c>
      <c r="G154" s="20">
        <f t="shared" si="12"/>
        <v>550</v>
      </c>
    </row>
    <row r="155" spans="2:7" ht="18">
      <c r="B155" s="23">
        <v>5079</v>
      </c>
      <c r="C155" s="24" t="s">
        <v>88</v>
      </c>
      <c r="D155" t="s">
        <v>281</v>
      </c>
      <c r="E155" s="26">
        <v>40</v>
      </c>
      <c r="F155" s="27">
        <v>11</v>
      </c>
      <c r="G155" s="20">
        <f t="shared" si="12"/>
        <v>440</v>
      </c>
    </row>
    <row r="156" spans="2:7" ht="18">
      <c r="B156" s="35">
        <v>5088</v>
      </c>
      <c r="C156" s="36" t="s">
        <v>90</v>
      </c>
      <c r="D156" t="s">
        <v>282</v>
      </c>
      <c r="E156" s="37">
        <v>40</v>
      </c>
      <c r="F156" s="38">
        <v>2</v>
      </c>
      <c r="G156" s="20">
        <f t="shared" si="12"/>
        <v>80</v>
      </c>
    </row>
    <row r="157" spans="2:7" ht="18">
      <c r="B157" s="23">
        <v>5089</v>
      </c>
      <c r="C157" s="24" t="s">
        <v>92</v>
      </c>
      <c r="D157" t="s">
        <v>283</v>
      </c>
      <c r="E157" s="26">
        <v>40</v>
      </c>
      <c r="F157" s="27">
        <v>10</v>
      </c>
      <c r="G157" s="20">
        <f t="shared" si="12"/>
        <v>400</v>
      </c>
    </row>
    <row r="158" spans="2:7" ht="18">
      <c r="B158" s="23">
        <v>5090</v>
      </c>
      <c r="C158" s="24" t="s">
        <v>94</v>
      </c>
      <c r="D158" t="s">
        <v>284</v>
      </c>
      <c r="E158" s="26">
        <v>25</v>
      </c>
      <c r="F158" s="27">
        <v>12</v>
      </c>
      <c r="G158" s="20">
        <f t="shared" si="12"/>
        <v>300</v>
      </c>
    </row>
    <row r="159" spans="2:7" ht="18">
      <c r="B159" s="23">
        <v>5092</v>
      </c>
      <c r="C159" s="24" t="s">
        <v>96</v>
      </c>
      <c r="D159" t="s">
        <v>285</v>
      </c>
      <c r="E159" s="26">
        <v>100</v>
      </c>
      <c r="F159" s="27">
        <v>1</v>
      </c>
      <c r="G159" s="20">
        <f t="shared" si="12"/>
        <v>100</v>
      </c>
    </row>
    <row r="160" spans="2:7" ht="18">
      <c r="B160" s="23">
        <v>5093</v>
      </c>
      <c r="C160" s="24" t="s">
        <v>98</v>
      </c>
      <c r="D160" t="s">
        <v>286</v>
      </c>
      <c r="E160" s="26">
        <v>25</v>
      </c>
      <c r="F160" s="27">
        <v>12</v>
      </c>
      <c r="G160" s="20">
        <f t="shared" si="12"/>
        <v>300</v>
      </c>
    </row>
    <row r="161" spans="2:7" ht="18">
      <c r="B161" s="23">
        <v>5094</v>
      </c>
      <c r="C161" s="33" t="s">
        <v>100</v>
      </c>
      <c r="D161" t="s">
        <v>287</v>
      </c>
      <c r="E161" s="26">
        <v>80</v>
      </c>
      <c r="F161" s="27">
        <v>9</v>
      </c>
      <c r="G161" s="20">
        <f t="shared" si="12"/>
        <v>720</v>
      </c>
    </row>
    <row r="162" spans="2:7" ht="18">
      <c r="B162" s="23">
        <v>5095</v>
      </c>
      <c r="C162" s="24" t="s">
        <v>102</v>
      </c>
      <c r="D162" t="s">
        <v>288</v>
      </c>
      <c r="E162" s="26">
        <v>40</v>
      </c>
      <c r="F162" s="27">
        <v>5</v>
      </c>
      <c r="G162" s="20">
        <f t="shared" si="12"/>
        <v>200</v>
      </c>
    </row>
    <row r="163" spans="2:7" ht="18">
      <c r="B163" s="23">
        <v>5096</v>
      </c>
      <c r="C163" s="24" t="s">
        <v>104</v>
      </c>
      <c r="D163" t="s">
        <v>289</v>
      </c>
      <c r="E163" s="26">
        <v>40</v>
      </c>
      <c r="F163" s="27">
        <v>14</v>
      </c>
      <c r="G163" s="20">
        <f t="shared" si="12"/>
        <v>560</v>
      </c>
    </row>
    <row r="164" spans="2:7" ht="18">
      <c r="B164" s="30">
        <v>5097</v>
      </c>
      <c r="C164" s="31" t="s">
        <v>106</v>
      </c>
      <c r="D164" t="s">
        <v>290</v>
      </c>
      <c r="E164" s="26">
        <v>45</v>
      </c>
      <c r="F164" s="27">
        <v>1</v>
      </c>
      <c r="G164" s="20">
        <f t="shared" si="12"/>
        <v>45</v>
      </c>
    </row>
    <row r="165" spans="2:7" ht="18">
      <c r="B165" s="35">
        <v>5099</v>
      </c>
      <c r="C165" s="36" t="s">
        <v>108</v>
      </c>
      <c r="D165" t="s">
        <v>291</v>
      </c>
      <c r="E165" s="37">
        <v>40</v>
      </c>
      <c r="F165" s="38">
        <v>10</v>
      </c>
      <c r="G165" s="20">
        <f t="shared" si="12"/>
        <v>400</v>
      </c>
    </row>
    <row r="166" spans="2:7" ht="18">
      <c r="B166" s="41">
        <v>5100</v>
      </c>
      <c r="C166" s="42" t="s">
        <v>110</v>
      </c>
      <c r="D166" t="s">
        <v>292</v>
      </c>
      <c r="E166" s="42">
        <v>40</v>
      </c>
      <c r="F166" s="42">
        <v>1</v>
      </c>
      <c r="G166" s="20">
        <f t="shared" si="12"/>
        <v>40</v>
      </c>
    </row>
    <row r="167" spans="2:7" ht="18">
      <c r="B167" s="23">
        <v>5102</v>
      </c>
      <c r="C167" s="24" t="s">
        <v>112</v>
      </c>
      <c r="D167" t="s">
        <v>293</v>
      </c>
      <c r="E167" s="26">
        <v>40</v>
      </c>
      <c r="F167" s="27">
        <v>5</v>
      </c>
      <c r="G167" s="20">
        <f t="shared" si="12"/>
        <v>200</v>
      </c>
    </row>
    <row r="168" spans="2:7" ht="18">
      <c r="B168" s="35">
        <v>5104</v>
      </c>
      <c r="C168" s="45" t="s">
        <v>114</v>
      </c>
      <c r="D168" t="s">
        <v>294</v>
      </c>
      <c r="E168" s="37">
        <v>40</v>
      </c>
      <c r="F168" s="38">
        <v>1</v>
      </c>
      <c r="G168" s="20">
        <f t="shared" si="12"/>
        <v>40</v>
      </c>
    </row>
    <row r="169" spans="2:7" ht="18">
      <c r="B169" s="23">
        <v>5105</v>
      </c>
      <c r="C169" s="24" t="s">
        <v>116</v>
      </c>
      <c r="D169" t="s">
        <v>295</v>
      </c>
      <c r="E169" s="26">
        <v>25</v>
      </c>
      <c r="F169" s="27">
        <v>3</v>
      </c>
      <c r="G169" s="20">
        <f t="shared" si="12"/>
        <v>75</v>
      </c>
    </row>
    <row r="170" spans="2:7" ht="18">
      <c r="B170" s="23">
        <v>5106</v>
      </c>
      <c r="C170" s="33" t="s">
        <v>118</v>
      </c>
      <c r="D170" t="s">
        <v>296</v>
      </c>
      <c r="E170" s="26">
        <v>80</v>
      </c>
      <c r="F170" s="27">
        <v>5</v>
      </c>
      <c r="G170" s="20">
        <f t="shared" si="12"/>
        <v>400</v>
      </c>
    </row>
    <row r="171" spans="2:7" ht="18">
      <c r="B171" s="23">
        <v>5107</v>
      </c>
      <c r="C171" s="46" t="s">
        <v>120</v>
      </c>
      <c r="D171" t="s">
        <v>297</v>
      </c>
      <c r="E171" s="26">
        <v>80</v>
      </c>
      <c r="F171" s="27">
        <v>10</v>
      </c>
      <c r="G171" s="20">
        <f t="shared" si="12"/>
        <v>800</v>
      </c>
    </row>
    <row r="172" spans="2:7" ht="18">
      <c r="B172" s="23">
        <v>5108</v>
      </c>
      <c r="C172" s="24" t="s">
        <v>122</v>
      </c>
      <c r="D172" t="s">
        <v>298</v>
      </c>
      <c r="E172" s="26">
        <v>40</v>
      </c>
      <c r="F172" s="27">
        <v>3</v>
      </c>
      <c r="G172" s="20">
        <f t="shared" si="12"/>
        <v>120</v>
      </c>
    </row>
    <row r="173" spans="2:7" ht="18">
      <c r="B173" s="30">
        <v>5109</v>
      </c>
      <c r="C173" s="31" t="s">
        <v>124</v>
      </c>
      <c r="D173" t="s">
        <v>298</v>
      </c>
      <c r="E173" s="26">
        <v>45</v>
      </c>
      <c r="F173" s="27">
        <v>2</v>
      </c>
      <c r="G173" s="20">
        <f t="shared" si="12"/>
        <v>90</v>
      </c>
    </row>
    <row r="174" spans="2:7" ht="18">
      <c r="B174" s="30">
        <v>5110</v>
      </c>
      <c r="C174" s="31" t="s">
        <v>125</v>
      </c>
      <c r="D174" t="s">
        <v>126</v>
      </c>
      <c r="E174" s="26">
        <v>45</v>
      </c>
      <c r="F174" s="27">
        <v>3</v>
      </c>
      <c r="G174" s="20">
        <f t="shared" si="12"/>
        <v>135</v>
      </c>
    </row>
    <row r="175" spans="2:7" ht="18">
      <c r="B175" s="41">
        <v>5111</v>
      </c>
      <c r="C175" s="42" t="s">
        <v>127</v>
      </c>
      <c r="D175" t="s">
        <v>299</v>
      </c>
      <c r="E175" s="42">
        <v>40</v>
      </c>
      <c r="F175" s="42">
        <v>39</v>
      </c>
      <c r="G175" s="20">
        <f t="shared" si="12"/>
        <v>1560</v>
      </c>
    </row>
    <row r="176" spans="2:7" ht="18">
      <c r="B176" s="23">
        <v>5118</v>
      </c>
      <c r="C176" s="24" t="s">
        <v>129</v>
      </c>
      <c r="D176" t="s">
        <v>300</v>
      </c>
      <c r="E176" s="26">
        <v>25</v>
      </c>
      <c r="F176" s="27">
        <v>4</v>
      </c>
      <c r="G176" s="20">
        <f t="shared" si="12"/>
        <v>100</v>
      </c>
    </row>
    <row r="177" spans="2:7" ht="18">
      <c r="B177" s="23">
        <v>5122</v>
      </c>
      <c r="C177" s="24" t="s">
        <v>131</v>
      </c>
      <c r="D177" t="s">
        <v>301</v>
      </c>
      <c r="E177" s="26">
        <v>40</v>
      </c>
      <c r="F177" s="27">
        <v>10</v>
      </c>
      <c r="G177" s="20">
        <f t="shared" si="12"/>
        <v>400</v>
      </c>
    </row>
    <row r="178" spans="2:7" ht="18.600000000000001" thickBot="1">
      <c r="B178" s="47">
        <v>400</v>
      </c>
      <c r="C178" s="48" t="s">
        <v>133</v>
      </c>
      <c r="D178" t="s">
        <v>302</v>
      </c>
      <c r="E178" s="48">
        <v>22</v>
      </c>
      <c r="F178" s="49">
        <v>70</v>
      </c>
      <c r="G178" s="20">
        <f t="shared" si="12"/>
        <v>1540</v>
      </c>
    </row>
    <row r="179" spans="2:7" ht="14.4" thickBot="1">
      <c r="B179" s="5"/>
      <c r="C179" s="10"/>
      <c r="D179" s="138" t="s">
        <v>303</v>
      </c>
      <c r="E179" s="10"/>
      <c r="F179" s="12"/>
      <c r="G179" s="13"/>
    </row>
    <row r="180" spans="2:7" ht="18">
      <c r="B180" s="51">
        <v>514</v>
      </c>
      <c r="C180" s="52" t="s">
        <v>136</v>
      </c>
      <c r="D180" t="s">
        <v>304</v>
      </c>
      <c r="E180" s="18">
        <v>80</v>
      </c>
      <c r="F180" s="19">
        <v>2</v>
      </c>
      <c r="G180" s="20">
        <f>E180*F180</f>
        <v>160</v>
      </c>
    </row>
    <row r="181" spans="2:7" ht="18.600000000000001" thickBot="1">
      <c r="B181" s="53">
        <v>580</v>
      </c>
      <c r="C181" s="54" t="s">
        <v>138</v>
      </c>
      <c r="D181" t="s">
        <v>305</v>
      </c>
      <c r="E181" s="55">
        <v>80</v>
      </c>
      <c r="F181" s="56">
        <v>10</v>
      </c>
      <c r="G181" s="20">
        <f>E181*F181</f>
        <v>800</v>
      </c>
    </row>
    <row r="182" spans="2:7" ht="14.4" thickBot="1">
      <c r="B182" s="5"/>
      <c r="C182" s="10"/>
      <c r="D182" s="138" t="s">
        <v>306</v>
      </c>
      <c r="E182" s="10"/>
      <c r="F182" s="12"/>
      <c r="G182" s="13"/>
    </row>
    <row r="183" spans="2:7" ht="18">
      <c r="B183" s="51">
        <v>301</v>
      </c>
      <c r="C183" s="16" t="s">
        <v>141</v>
      </c>
      <c r="D183" t="s">
        <v>307</v>
      </c>
      <c r="E183" s="18">
        <v>45</v>
      </c>
      <c r="F183" s="19">
        <v>20</v>
      </c>
      <c r="G183" s="20">
        <f>E183*F183</f>
        <v>900</v>
      </c>
    </row>
    <row r="184" spans="2:7" ht="18">
      <c r="B184" s="23">
        <v>302</v>
      </c>
      <c r="C184" s="24" t="s">
        <v>142</v>
      </c>
      <c r="D184" t="s">
        <v>308</v>
      </c>
      <c r="E184" s="26">
        <v>80</v>
      </c>
      <c r="F184" s="27">
        <v>6</v>
      </c>
      <c r="G184" s="20">
        <f t="shared" ref="G184:G206" si="13">E184*F184</f>
        <v>480</v>
      </c>
    </row>
    <row r="185" spans="2:7" ht="18">
      <c r="B185" s="23">
        <v>303</v>
      </c>
      <c r="C185" s="24" t="s">
        <v>144</v>
      </c>
      <c r="D185" t="s">
        <v>309</v>
      </c>
      <c r="E185" s="26">
        <v>45</v>
      </c>
      <c r="F185" s="27">
        <v>50</v>
      </c>
      <c r="G185" s="20">
        <f t="shared" si="13"/>
        <v>2250</v>
      </c>
    </row>
    <row r="186" spans="2:7" ht="18">
      <c r="B186" s="23">
        <v>310</v>
      </c>
      <c r="C186" s="24" t="s">
        <v>146</v>
      </c>
      <c r="D186" t="s">
        <v>310</v>
      </c>
      <c r="E186" s="26">
        <v>45</v>
      </c>
      <c r="F186" s="27">
        <v>40</v>
      </c>
      <c r="G186" s="20">
        <f t="shared" si="13"/>
        <v>1800</v>
      </c>
    </row>
    <row r="187" spans="2:7" ht="18">
      <c r="B187" s="41">
        <v>313</v>
      </c>
      <c r="C187" s="42" t="s">
        <v>32</v>
      </c>
      <c r="D187" t="s">
        <v>259</v>
      </c>
      <c r="E187" s="42">
        <v>40</v>
      </c>
      <c r="F187" s="42">
        <v>5</v>
      </c>
      <c r="G187" s="20">
        <f t="shared" si="13"/>
        <v>200</v>
      </c>
    </row>
    <row r="188" spans="2:7" ht="18">
      <c r="B188" s="41">
        <v>320</v>
      </c>
      <c r="C188" s="42" t="s">
        <v>148</v>
      </c>
      <c r="D188" t="s">
        <v>311</v>
      </c>
      <c r="E188" s="42">
        <v>40</v>
      </c>
      <c r="F188" s="42">
        <v>5</v>
      </c>
      <c r="G188" s="20">
        <f t="shared" si="13"/>
        <v>200</v>
      </c>
    </row>
    <row r="189" spans="2:7" ht="18">
      <c r="B189" s="23">
        <v>323</v>
      </c>
      <c r="C189" s="24" t="s">
        <v>150</v>
      </c>
      <c r="D189" t="s">
        <v>312</v>
      </c>
      <c r="E189" s="26">
        <v>55</v>
      </c>
      <c r="F189" s="27">
        <v>15</v>
      </c>
      <c r="G189" s="20">
        <f t="shared" si="13"/>
        <v>825</v>
      </c>
    </row>
    <row r="190" spans="2:7" ht="18">
      <c r="B190" s="41">
        <v>328</v>
      </c>
      <c r="C190" s="42" t="s">
        <v>152</v>
      </c>
      <c r="D190" t="s">
        <v>313</v>
      </c>
      <c r="E190" s="42">
        <v>40</v>
      </c>
      <c r="F190" s="42">
        <v>48</v>
      </c>
      <c r="G190" s="20">
        <f t="shared" si="13"/>
        <v>1920</v>
      </c>
    </row>
    <row r="191" spans="2:7" ht="18">
      <c r="B191" s="23">
        <v>337</v>
      </c>
      <c r="C191" s="24" t="s">
        <v>154</v>
      </c>
      <c r="D191" t="s">
        <v>314</v>
      </c>
      <c r="E191" s="26">
        <v>55</v>
      </c>
      <c r="F191" s="27">
        <v>58</v>
      </c>
      <c r="G191" s="20">
        <f t="shared" si="13"/>
        <v>3190</v>
      </c>
    </row>
    <row r="192" spans="2:7" ht="18">
      <c r="B192" s="41">
        <v>340</v>
      </c>
      <c r="C192" s="42" t="s">
        <v>156</v>
      </c>
      <c r="D192" t="s">
        <v>61</v>
      </c>
      <c r="E192" s="42">
        <v>40</v>
      </c>
      <c r="F192" s="42">
        <v>58</v>
      </c>
      <c r="G192" s="20">
        <f t="shared" si="13"/>
        <v>2320</v>
      </c>
    </row>
    <row r="193" spans="2:7" ht="18">
      <c r="B193" s="41">
        <v>342</v>
      </c>
      <c r="C193" s="42" t="s">
        <v>157</v>
      </c>
      <c r="D193" t="s">
        <v>315</v>
      </c>
      <c r="E193" s="42">
        <v>40</v>
      </c>
      <c r="F193" s="42">
        <v>5</v>
      </c>
      <c r="G193" s="20">
        <f t="shared" si="13"/>
        <v>200</v>
      </c>
    </row>
    <row r="194" spans="2:7" ht="18">
      <c r="B194" s="35">
        <v>346</v>
      </c>
      <c r="C194" s="36" t="s">
        <v>159</v>
      </c>
      <c r="D194" t="s">
        <v>160</v>
      </c>
      <c r="E194" s="37">
        <v>45</v>
      </c>
      <c r="F194" s="38">
        <v>10</v>
      </c>
      <c r="G194" s="20">
        <f t="shared" si="13"/>
        <v>450</v>
      </c>
    </row>
    <row r="195" spans="2:7" ht="18">
      <c r="B195" s="23">
        <v>350</v>
      </c>
      <c r="C195" s="24" t="s">
        <v>161</v>
      </c>
      <c r="D195" t="s">
        <v>316</v>
      </c>
      <c r="E195" s="26">
        <v>45</v>
      </c>
      <c r="F195" s="27">
        <v>40</v>
      </c>
      <c r="G195" s="20">
        <f t="shared" si="13"/>
        <v>1800</v>
      </c>
    </row>
    <row r="196" spans="2:7" ht="18">
      <c r="B196" s="41">
        <v>357</v>
      </c>
      <c r="C196" s="42" t="s">
        <v>163</v>
      </c>
      <c r="D196" t="s">
        <v>317</v>
      </c>
      <c r="E196" s="42">
        <v>45</v>
      </c>
      <c r="F196" s="42">
        <v>2</v>
      </c>
      <c r="G196" s="20">
        <f t="shared" si="13"/>
        <v>90</v>
      </c>
    </row>
    <row r="197" spans="2:7" ht="18">
      <c r="B197" s="23">
        <v>358</v>
      </c>
      <c r="C197" s="24" t="s">
        <v>165</v>
      </c>
      <c r="D197" t="s">
        <v>289</v>
      </c>
      <c r="E197" s="26">
        <v>45</v>
      </c>
      <c r="F197" s="27">
        <v>10</v>
      </c>
      <c r="G197" s="20">
        <f t="shared" si="13"/>
        <v>450</v>
      </c>
    </row>
    <row r="198" spans="2:7" ht="18">
      <c r="B198" s="41">
        <v>359</v>
      </c>
      <c r="C198" s="42" t="s">
        <v>166</v>
      </c>
      <c r="D198" t="s">
        <v>318</v>
      </c>
      <c r="E198" s="42">
        <v>40</v>
      </c>
      <c r="F198" s="42">
        <v>5</v>
      </c>
      <c r="G198" s="20">
        <f t="shared" si="13"/>
        <v>200</v>
      </c>
    </row>
    <row r="199" spans="2:7" ht="18">
      <c r="B199" s="41">
        <v>360</v>
      </c>
      <c r="C199" s="42" t="s">
        <v>168</v>
      </c>
      <c r="D199" t="s">
        <v>319</v>
      </c>
      <c r="E199" s="42">
        <v>45</v>
      </c>
      <c r="F199" s="27">
        <v>15</v>
      </c>
      <c r="G199" s="20">
        <f t="shared" si="13"/>
        <v>675</v>
      </c>
    </row>
    <row r="200" spans="2:7" ht="18">
      <c r="B200" s="41">
        <v>361</v>
      </c>
      <c r="C200" s="42" t="s">
        <v>169</v>
      </c>
      <c r="D200" t="s">
        <v>320</v>
      </c>
      <c r="E200" s="42">
        <v>45</v>
      </c>
      <c r="F200" s="42">
        <v>15</v>
      </c>
      <c r="G200" s="20">
        <f t="shared" si="13"/>
        <v>675</v>
      </c>
    </row>
    <row r="201" spans="2:7" ht="18">
      <c r="B201" s="23">
        <v>370</v>
      </c>
      <c r="C201" s="24" t="s">
        <v>171</v>
      </c>
      <c r="D201" t="s">
        <v>321</v>
      </c>
      <c r="E201" s="26">
        <v>45</v>
      </c>
      <c r="F201" s="27">
        <v>70</v>
      </c>
      <c r="G201" s="20">
        <f t="shared" si="13"/>
        <v>3150</v>
      </c>
    </row>
    <row r="202" spans="2:7" ht="18">
      <c r="B202" s="23">
        <v>373</v>
      </c>
      <c r="C202" s="24" t="s">
        <v>78</v>
      </c>
      <c r="D202" t="s">
        <v>79</v>
      </c>
      <c r="E202" s="26">
        <v>80</v>
      </c>
      <c r="F202" s="27">
        <v>3</v>
      </c>
      <c r="G202" s="20">
        <f t="shared" si="13"/>
        <v>240</v>
      </c>
    </row>
    <row r="203" spans="2:7" ht="18">
      <c r="B203" s="41">
        <v>390</v>
      </c>
      <c r="C203" s="42" t="s">
        <v>173</v>
      </c>
      <c r="D203" t="s">
        <v>284</v>
      </c>
      <c r="E203" s="42">
        <v>25</v>
      </c>
      <c r="F203" s="42">
        <v>20</v>
      </c>
      <c r="G203" s="20">
        <f t="shared" si="13"/>
        <v>500</v>
      </c>
    </row>
    <row r="204" spans="2:7" ht="18">
      <c r="B204" s="23">
        <v>395</v>
      </c>
      <c r="C204" s="24" t="s">
        <v>175</v>
      </c>
      <c r="D204" t="s">
        <v>322</v>
      </c>
      <c r="E204" s="26">
        <v>40</v>
      </c>
      <c r="F204" s="27">
        <v>20</v>
      </c>
      <c r="G204" s="20">
        <f t="shared" si="13"/>
        <v>800</v>
      </c>
    </row>
    <row r="205" spans="2:7" ht="18">
      <c r="B205" s="53">
        <v>396</v>
      </c>
      <c r="C205" s="60" t="s">
        <v>177</v>
      </c>
      <c r="D205" t="s">
        <v>289</v>
      </c>
      <c r="E205" s="55">
        <v>55</v>
      </c>
      <c r="F205" s="56">
        <v>20</v>
      </c>
      <c r="G205" s="20">
        <f t="shared" si="13"/>
        <v>1100</v>
      </c>
    </row>
    <row r="206" spans="2:7" ht="18.600000000000001" thickBot="1">
      <c r="B206" s="61">
        <v>910</v>
      </c>
      <c r="C206" s="62" t="s">
        <v>179</v>
      </c>
      <c r="D206" t="s">
        <v>323</v>
      </c>
      <c r="E206" s="62">
        <v>22</v>
      </c>
      <c r="F206" s="62">
        <v>142</v>
      </c>
      <c r="G206" s="20">
        <f t="shared" si="13"/>
        <v>3124</v>
      </c>
    </row>
    <row r="207" spans="2:7" ht="14.4" thickBot="1">
      <c r="B207" s="5"/>
      <c r="C207" s="10"/>
      <c r="D207" s="138" t="s">
        <v>324</v>
      </c>
      <c r="E207" s="10"/>
      <c r="F207" s="12"/>
      <c r="G207" s="13"/>
    </row>
    <row r="208" spans="2:7" ht="18">
      <c r="B208" s="51">
        <v>607</v>
      </c>
      <c r="C208" s="16" t="s">
        <v>182</v>
      </c>
      <c r="D208" t="s">
        <v>325</v>
      </c>
      <c r="E208" s="18">
        <v>80</v>
      </c>
      <c r="F208" s="19">
        <v>10</v>
      </c>
      <c r="G208" s="20">
        <f>E208*F208</f>
        <v>800</v>
      </c>
    </row>
    <row r="209" spans="2:7" ht="18">
      <c r="B209" s="23">
        <v>616</v>
      </c>
      <c r="C209" s="33" t="s">
        <v>184</v>
      </c>
      <c r="D209" t="s">
        <v>326</v>
      </c>
      <c r="E209" s="26">
        <v>80</v>
      </c>
      <c r="F209" s="27">
        <v>28</v>
      </c>
      <c r="G209" s="20">
        <f t="shared" ref="G209:G212" si="14">E209*F209</f>
        <v>2240</v>
      </c>
    </row>
    <row r="210" spans="2:7" ht="18">
      <c r="B210" s="23">
        <v>640</v>
      </c>
      <c r="C210" s="24" t="s">
        <v>186</v>
      </c>
      <c r="D210" t="s">
        <v>327</v>
      </c>
      <c r="E210" s="26">
        <v>55</v>
      </c>
      <c r="F210" s="27">
        <v>40</v>
      </c>
      <c r="G210" s="20">
        <f t="shared" si="14"/>
        <v>2200</v>
      </c>
    </row>
    <row r="211" spans="2:7" ht="18">
      <c r="B211" s="23">
        <v>649</v>
      </c>
      <c r="C211" s="46" t="s">
        <v>188</v>
      </c>
      <c r="D211" t="s">
        <v>326</v>
      </c>
      <c r="E211" s="26">
        <v>80</v>
      </c>
      <c r="F211" s="27">
        <v>42</v>
      </c>
      <c r="G211" s="20">
        <f t="shared" si="14"/>
        <v>3360</v>
      </c>
    </row>
    <row r="212" spans="2:7" ht="18">
      <c r="B212" s="23">
        <v>680</v>
      </c>
      <c r="C212" s="24" t="s">
        <v>189</v>
      </c>
      <c r="D212" t="s">
        <v>305</v>
      </c>
      <c r="E212" s="26">
        <v>80</v>
      </c>
      <c r="F212" s="27">
        <v>10</v>
      </c>
      <c r="G212" s="20">
        <f t="shared" si="14"/>
        <v>800</v>
      </c>
    </row>
    <row r="213" spans="2:7" ht="22.8">
      <c r="B213" s="65"/>
      <c r="C213" s="66"/>
      <c r="D213" s="138" t="s">
        <v>328</v>
      </c>
      <c r="E213" s="72"/>
      <c r="F213" s="72"/>
      <c r="G213" s="72"/>
    </row>
    <row r="214" spans="2:7" ht="18">
      <c r="B214" s="30">
        <v>405</v>
      </c>
      <c r="C214" s="31" t="s">
        <v>191</v>
      </c>
      <c r="D214" t="s">
        <v>329</v>
      </c>
      <c r="E214" s="26">
        <v>25</v>
      </c>
      <c r="F214" s="27">
        <v>5</v>
      </c>
      <c r="G214" s="69">
        <f>E214*F214</f>
        <v>125</v>
      </c>
    </row>
    <row r="215" spans="2:7" ht="18">
      <c r="B215" s="30">
        <v>435</v>
      </c>
      <c r="C215" s="31" t="s">
        <v>193</v>
      </c>
      <c r="D215" t="s">
        <v>330</v>
      </c>
      <c r="E215" s="26">
        <v>10</v>
      </c>
      <c r="F215" s="27">
        <v>13</v>
      </c>
      <c r="G215" s="69">
        <f t="shared" ref="G215:G219" si="15">E215*F215</f>
        <v>130</v>
      </c>
    </row>
    <row r="216" spans="2:7" ht="18">
      <c r="B216" s="23">
        <v>850</v>
      </c>
      <c r="C216" s="24" t="s">
        <v>195</v>
      </c>
      <c r="D216" t="s">
        <v>331</v>
      </c>
      <c r="E216" s="26">
        <v>15</v>
      </c>
      <c r="F216" s="27">
        <v>20</v>
      </c>
      <c r="G216" s="69">
        <f t="shared" si="15"/>
        <v>300</v>
      </c>
    </row>
    <row r="217" spans="2:7" ht="18">
      <c r="B217" s="23">
        <v>865</v>
      </c>
      <c r="C217" s="24" t="s">
        <v>197</v>
      </c>
      <c r="D217" t="s">
        <v>198</v>
      </c>
      <c r="E217" s="26">
        <v>20</v>
      </c>
      <c r="F217" s="27">
        <v>60</v>
      </c>
      <c r="G217" s="69">
        <f t="shared" si="15"/>
        <v>1200</v>
      </c>
    </row>
    <row r="218" spans="2:7" ht="18">
      <c r="B218" s="23">
        <v>870</v>
      </c>
      <c r="C218" s="24" t="s">
        <v>199</v>
      </c>
      <c r="D218" t="s">
        <v>332</v>
      </c>
      <c r="E218" s="26">
        <v>200</v>
      </c>
      <c r="F218" s="27">
        <v>1</v>
      </c>
      <c r="G218" s="69">
        <f t="shared" si="15"/>
        <v>200</v>
      </c>
    </row>
    <row r="219" spans="2:7" ht="18">
      <c r="B219" s="23">
        <v>1025</v>
      </c>
      <c r="C219" s="24" t="s">
        <v>201</v>
      </c>
      <c r="D219" t="s">
        <v>333</v>
      </c>
      <c r="E219" s="26">
        <v>25</v>
      </c>
      <c r="F219" s="27">
        <v>3</v>
      </c>
      <c r="G219" s="69">
        <f t="shared" si="15"/>
        <v>75</v>
      </c>
    </row>
  </sheetData>
  <conditionalFormatting sqref="B6:B68">
    <cfRule type="duplicateValues" dxfId="61" priority="13"/>
  </conditionalFormatting>
  <conditionalFormatting sqref="B69 B104:B106">
    <cfRule type="duplicateValues" dxfId="60" priority="9"/>
  </conditionalFormatting>
  <conditionalFormatting sqref="B70:B72">
    <cfRule type="duplicateValues" dxfId="59" priority="12"/>
  </conditionalFormatting>
  <conditionalFormatting sqref="B73:B96">
    <cfRule type="duplicateValues" dxfId="58" priority="11"/>
  </conditionalFormatting>
  <conditionalFormatting sqref="B98:B103">
    <cfRule type="duplicateValues" dxfId="57" priority="10"/>
  </conditionalFormatting>
  <conditionalFormatting sqref="B107:B110 B97">
    <cfRule type="duplicateValues" dxfId="56" priority="14"/>
  </conditionalFormatting>
  <conditionalFormatting sqref="F3">
    <cfRule type="duplicateValues" dxfId="55" priority="8"/>
  </conditionalFormatting>
  <conditionalFormatting sqref="B115:B177">
    <cfRule type="duplicateValues" dxfId="54" priority="7"/>
  </conditionalFormatting>
  <conditionalFormatting sqref="B178 B213:B215">
    <cfRule type="duplicateValues" dxfId="53" priority="6"/>
  </conditionalFormatting>
  <conditionalFormatting sqref="B179:B181">
    <cfRule type="duplicateValues" dxfId="52" priority="5"/>
  </conditionalFormatting>
  <conditionalFormatting sqref="B182:B205">
    <cfRule type="duplicateValues" dxfId="51" priority="4"/>
  </conditionalFormatting>
  <conditionalFormatting sqref="B207:B212">
    <cfRule type="duplicateValues" dxfId="50" priority="3"/>
  </conditionalFormatting>
  <conditionalFormatting sqref="B216:B219 B206">
    <cfRule type="duplicateValues" dxfId="49" priority="2"/>
  </conditionalFormatting>
  <conditionalFormatting sqref="F112">
    <cfRule type="duplicateValues" dxfId="48" priority="1"/>
  </conditionalFormatting>
  <pageMargins left="0.25" right="0.25" top="0.75" bottom="0.75" header="0.3" footer="0.3"/>
  <pageSetup paperSize="9" scale="35" fitToHeight="2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4:B23"/>
  <sheetViews>
    <sheetView workbookViewId="0">
      <selection activeCell="B4" sqref="B4"/>
    </sheetView>
  </sheetViews>
  <sheetFormatPr baseColWidth="10" defaultRowHeight="13.8"/>
  <sheetData>
    <row r="4" spans="1:2">
      <c r="A4" s="152" t="s">
        <v>362</v>
      </c>
      <c r="B4" t="e">
        <f>VLOOKUP(A4,Tableau1[],'LISTE CATEGORIE'!E:E,FALSE)</f>
        <v>#N/A</v>
      </c>
    </row>
    <row r="5" spans="1:2">
      <c r="A5" s="152" t="s">
        <v>363</v>
      </c>
      <c r="B5" t="e">
        <f>VLOOKUP(A5,Tableau1[],'LISTE CATEGORIE'!E:E,FALSE)</f>
        <v>#N/A</v>
      </c>
    </row>
    <row r="6" spans="1:2">
      <c r="A6" s="152" t="s">
        <v>364</v>
      </c>
      <c r="B6" t="e">
        <f>VLOOKUP(A6,Tableau1[],'LISTE CATEGORIE'!E:E,FALSE)</f>
        <v>#N/A</v>
      </c>
    </row>
    <row r="7" spans="1:2">
      <c r="A7" s="152" t="s">
        <v>365</v>
      </c>
      <c r="B7" t="e">
        <f>VLOOKUP(A7,Tableau1[],'LISTE CATEGORIE'!E:E,FALSE)</f>
        <v>#N/A</v>
      </c>
    </row>
    <row r="8" spans="1:2">
      <c r="A8" s="152" t="s">
        <v>366</v>
      </c>
      <c r="B8" t="e">
        <f>VLOOKUP(A8,Tableau1[],'LISTE CATEGORIE'!E:E,FALSE)</f>
        <v>#N/A</v>
      </c>
    </row>
    <row r="9" spans="1:2">
      <c r="A9" s="152" t="s">
        <v>367</v>
      </c>
      <c r="B9" t="e">
        <f>VLOOKUP(A9,Tableau1[],'LISTE CATEGORIE'!E:E,FALSE)</f>
        <v>#N/A</v>
      </c>
    </row>
    <row r="10" spans="1:2">
      <c r="A10" s="152" t="s">
        <v>368</v>
      </c>
      <c r="B10" t="e">
        <f>VLOOKUP(A10,Tableau1[],'LISTE CATEGORIE'!E:E,FALSE)</f>
        <v>#N/A</v>
      </c>
    </row>
    <row r="11" spans="1:2">
      <c r="A11" s="152" t="s">
        <v>369</v>
      </c>
      <c r="B11" t="e">
        <f>VLOOKUP(A11,Tableau1[],'LISTE CATEGORIE'!E:E,FALSE)</f>
        <v>#N/A</v>
      </c>
    </row>
    <row r="12" spans="1:2">
      <c r="A12" s="152" t="s">
        <v>370</v>
      </c>
      <c r="B12" t="e">
        <f>VLOOKUP(A12,Tableau1[],'LISTE CATEGORIE'!E:E,FALSE)</f>
        <v>#N/A</v>
      </c>
    </row>
    <row r="13" spans="1:2">
      <c r="A13" s="152" t="s">
        <v>371</v>
      </c>
      <c r="B13" t="e">
        <f>VLOOKUP(A13,Tableau1[],'LISTE CATEGORIE'!E:E,FALSE)</f>
        <v>#N/A</v>
      </c>
    </row>
    <row r="14" spans="1:2">
      <c r="A14" s="152" t="s">
        <v>372</v>
      </c>
      <c r="B14" t="e">
        <f>VLOOKUP(A14,Tableau1[],'LISTE CATEGORIE'!E:E,FALSE)</f>
        <v>#N/A</v>
      </c>
    </row>
    <row r="15" spans="1:2">
      <c r="A15" s="152" t="s">
        <v>373</v>
      </c>
      <c r="B15" t="e">
        <f>VLOOKUP(A15,Tableau1[],'LISTE CATEGORIE'!E:E,FALSE)</f>
        <v>#N/A</v>
      </c>
    </row>
    <row r="16" spans="1:2">
      <c r="A16" s="152" t="s">
        <v>374</v>
      </c>
      <c r="B16" t="e">
        <f>VLOOKUP(A16,Tableau1[],'LISTE CATEGORIE'!E:E,FALSE)</f>
        <v>#N/A</v>
      </c>
    </row>
    <row r="17" spans="1:2">
      <c r="A17" s="152" t="s">
        <v>375</v>
      </c>
      <c r="B17" t="e">
        <f>VLOOKUP(A17,Tableau1[],'LISTE CATEGORIE'!E:E,FALSE)</f>
        <v>#N/A</v>
      </c>
    </row>
    <row r="18" spans="1:2">
      <c r="A18" s="152" t="s">
        <v>376</v>
      </c>
      <c r="B18" t="e">
        <f>VLOOKUP(A18,Tableau1[],'LISTE CATEGORIE'!E:E,FALSE)</f>
        <v>#N/A</v>
      </c>
    </row>
    <row r="19" spans="1:2">
      <c r="A19" s="152" t="s">
        <v>377</v>
      </c>
      <c r="B19" t="e">
        <f>VLOOKUP(A19,Tableau1[],'LISTE CATEGORIE'!E:E,FALSE)</f>
        <v>#N/A</v>
      </c>
    </row>
    <row r="20" spans="1:2">
      <c r="A20" s="152" t="s">
        <v>378</v>
      </c>
      <c r="B20" t="e">
        <f>VLOOKUP(A20,Tableau1[],'LISTE CATEGORIE'!E:E,FALSE)</f>
        <v>#N/A</v>
      </c>
    </row>
    <row r="21" spans="1:2">
      <c r="A21" s="152" t="s">
        <v>379</v>
      </c>
      <c r="B21" t="e">
        <f>VLOOKUP(A21,Tableau1[],'LISTE CATEGORIE'!E:E,FALSE)</f>
        <v>#N/A</v>
      </c>
    </row>
    <row r="22" spans="1:2">
      <c r="A22" s="152" t="s">
        <v>380</v>
      </c>
      <c r="B22" t="e">
        <f>VLOOKUP(A22,Tableau1[],'LISTE CATEGORIE'!E:E,FALSE)</f>
        <v>#N/A</v>
      </c>
    </row>
    <row r="23" spans="1:2">
      <c r="A23" s="152" t="s">
        <v>381</v>
      </c>
      <c r="B23" t="e">
        <f>VLOOKUP(A23,Tableau1[],'LISTE CATEGORIE'!E:E,FALSE)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67"/>
  <sheetViews>
    <sheetView workbookViewId="0">
      <selection activeCell="A3" sqref="A3:H67"/>
    </sheetView>
  </sheetViews>
  <sheetFormatPr baseColWidth="10" defaultRowHeight="13.8"/>
  <cols>
    <col min="2" max="2" width="26.09765625" customWidth="1"/>
    <col min="3" max="3" width="37.59765625" customWidth="1"/>
  </cols>
  <sheetData>
    <row r="2" spans="1:9" ht="14.4" thickBot="1"/>
    <row r="3" spans="1:9" ht="35.4" thickBot="1">
      <c r="A3" s="4" t="s">
        <v>1</v>
      </c>
      <c r="B3" s="5" t="s">
        <v>2</v>
      </c>
      <c r="C3" s="4" t="s">
        <v>3</v>
      </c>
      <c r="D3" s="6" t="s">
        <v>4</v>
      </c>
      <c r="E3" s="7" t="s">
        <v>5</v>
      </c>
      <c r="F3" s="8" t="s">
        <v>6</v>
      </c>
      <c r="G3" s="9" t="s">
        <v>7</v>
      </c>
      <c r="H3" s="4" t="s">
        <v>8</v>
      </c>
      <c r="I3" s="135" t="s">
        <v>205</v>
      </c>
    </row>
    <row r="4" spans="1:9" ht="20.399999999999999" customHeight="1">
      <c r="A4" s="139">
        <v>5000</v>
      </c>
      <c r="B4" s="140" t="s">
        <v>10</v>
      </c>
      <c r="C4" s="73" t="s">
        <v>11</v>
      </c>
      <c r="D4" s="141">
        <v>65</v>
      </c>
      <c r="E4" s="142">
        <v>15</v>
      </c>
      <c r="F4" s="74">
        <f>D4*E4</f>
        <v>975</v>
      </c>
      <c r="G4" s="143">
        <v>1.6</v>
      </c>
      <c r="H4" s="144">
        <f>F4*G4</f>
        <v>1560</v>
      </c>
      <c r="I4" s="136" t="s">
        <v>204</v>
      </c>
    </row>
    <row r="5" spans="1:9" ht="20.399999999999999" customHeight="1">
      <c r="A5" s="23">
        <v>5001</v>
      </c>
      <c r="B5" s="24" t="s">
        <v>12</v>
      </c>
      <c r="C5" s="78" t="s">
        <v>13</v>
      </c>
      <c r="D5" s="26">
        <v>65</v>
      </c>
      <c r="E5" s="27">
        <v>15</v>
      </c>
      <c r="F5" s="74">
        <f t="shared" ref="F5:F67" si="0">D5*E5</f>
        <v>975</v>
      </c>
      <c r="G5" s="28">
        <v>1.5999999999999999</v>
      </c>
      <c r="H5" s="144">
        <f t="shared" ref="H5:H67" si="1">F5*G5</f>
        <v>1559.9999999999998</v>
      </c>
      <c r="I5" s="137" t="s">
        <v>204</v>
      </c>
    </row>
    <row r="6" spans="1:9" ht="20.399999999999999" customHeight="1">
      <c r="A6" s="23">
        <v>5002</v>
      </c>
      <c r="B6" s="24" t="s">
        <v>14</v>
      </c>
      <c r="C6" s="73" t="s">
        <v>15</v>
      </c>
      <c r="D6" s="26">
        <v>45</v>
      </c>
      <c r="E6" s="27">
        <v>15</v>
      </c>
      <c r="F6" s="74">
        <f t="shared" si="0"/>
        <v>675</v>
      </c>
      <c r="G6" s="28">
        <v>2</v>
      </c>
      <c r="H6" s="144">
        <f t="shared" si="1"/>
        <v>1350</v>
      </c>
      <c r="I6" s="136" t="s">
        <v>204</v>
      </c>
    </row>
    <row r="7" spans="1:9" ht="20.399999999999999" customHeight="1">
      <c r="A7" s="23">
        <v>5007</v>
      </c>
      <c r="B7" s="24" t="s">
        <v>20</v>
      </c>
      <c r="C7" s="78" t="s">
        <v>21</v>
      </c>
      <c r="D7" s="26">
        <v>40</v>
      </c>
      <c r="E7" s="27">
        <v>50</v>
      </c>
      <c r="F7" s="74">
        <f t="shared" si="0"/>
        <v>2000</v>
      </c>
      <c r="G7" s="28">
        <v>1.5999999999999999</v>
      </c>
      <c r="H7" s="144">
        <f t="shared" si="1"/>
        <v>3199.9999999999995</v>
      </c>
      <c r="I7" s="137" t="s">
        <v>204</v>
      </c>
    </row>
    <row r="8" spans="1:9" ht="20.399999999999999" customHeight="1">
      <c r="A8" s="30">
        <v>5010</v>
      </c>
      <c r="B8" s="31" t="s">
        <v>26</v>
      </c>
      <c r="C8" s="73" t="s">
        <v>27</v>
      </c>
      <c r="D8" s="26">
        <v>45</v>
      </c>
      <c r="E8" s="27">
        <v>20</v>
      </c>
      <c r="F8" s="74">
        <f t="shared" si="0"/>
        <v>900</v>
      </c>
      <c r="G8" s="32">
        <v>3</v>
      </c>
      <c r="H8" s="144">
        <f t="shared" si="1"/>
        <v>2700</v>
      </c>
      <c r="I8" s="136" t="s">
        <v>204</v>
      </c>
    </row>
    <row r="9" spans="1:9" ht="20.399999999999999" customHeight="1">
      <c r="A9" s="30">
        <v>5011</v>
      </c>
      <c r="B9" s="31" t="s">
        <v>28</v>
      </c>
      <c r="C9" s="78" t="s">
        <v>29</v>
      </c>
      <c r="D9" s="26">
        <v>45</v>
      </c>
      <c r="E9" s="27">
        <v>9</v>
      </c>
      <c r="F9" s="74">
        <f t="shared" si="0"/>
        <v>405</v>
      </c>
      <c r="G9" s="32">
        <v>1.5999999999999999</v>
      </c>
      <c r="H9" s="144">
        <f t="shared" si="1"/>
        <v>648</v>
      </c>
      <c r="I9" s="137" t="s">
        <v>204</v>
      </c>
    </row>
    <row r="10" spans="1:9" ht="20.399999999999999" customHeight="1">
      <c r="A10" s="23">
        <v>5013</v>
      </c>
      <c r="B10" s="24" t="s">
        <v>239</v>
      </c>
      <c r="C10" s="73" t="s">
        <v>33</v>
      </c>
      <c r="D10" s="26">
        <v>45</v>
      </c>
      <c r="E10" s="27">
        <v>3</v>
      </c>
      <c r="F10" s="74">
        <f t="shared" si="0"/>
        <v>135</v>
      </c>
      <c r="G10" s="28">
        <v>1.5999999999999999</v>
      </c>
      <c r="H10" s="144">
        <f t="shared" si="1"/>
        <v>215.99999999999997</v>
      </c>
      <c r="I10" s="136" t="s">
        <v>204</v>
      </c>
    </row>
    <row r="11" spans="1:9" ht="20.399999999999999" customHeight="1">
      <c r="A11" s="23"/>
      <c r="B11" s="24" t="s">
        <v>240</v>
      </c>
      <c r="C11" s="73" t="s">
        <v>241</v>
      </c>
      <c r="D11" s="26">
        <v>45</v>
      </c>
      <c r="E11" s="27">
        <v>2</v>
      </c>
      <c r="F11" s="74">
        <f t="shared" si="0"/>
        <v>90</v>
      </c>
      <c r="G11" s="28">
        <v>1.6</v>
      </c>
      <c r="H11" s="144">
        <f t="shared" si="1"/>
        <v>144</v>
      </c>
      <c r="I11" s="136"/>
    </row>
    <row r="12" spans="1:9" ht="20.399999999999999" customHeight="1">
      <c r="A12" s="23">
        <v>5018</v>
      </c>
      <c r="B12" s="24" t="s">
        <v>40</v>
      </c>
      <c r="C12" s="78" t="s">
        <v>41</v>
      </c>
      <c r="D12" s="26">
        <v>45</v>
      </c>
      <c r="E12" s="27">
        <v>3</v>
      </c>
      <c r="F12" s="74">
        <f t="shared" si="0"/>
        <v>135</v>
      </c>
      <c r="G12" s="28">
        <v>1.5999999999999999</v>
      </c>
      <c r="H12" s="144">
        <f t="shared" si="1"/>
        <v>215.99999999999997</v>
      </c>
      <c r="I12" s="137" t="s">
        <v>204</v>
      </c>
    </row>
    <row r="13" spans="1:9" ht="20.399999999999999" customHeight="1">
      <c r="A13" s="23">
        <v>5020</v>
      </c>
      <c r="B13" s="24" t="s">
        <v>42</v>
      </c>
      <c r="C13" s="73" t="s">
        <v>43</v>
      </c>
      <c r="D13" s="26">
        <v>45</v>
      </c>
      <c r="E13" s="27">
        <v>5</v>
      </c>
      <c r="F13" s="74">
        <f t="shared" si="0"/>
        <v>225</v>
      </c>
      <c r="G13" s="28">
        <v>3</v>
      </c>
      <c r="H13" s="144">
        <f t="shared" si="1"/>
        <v>675</v>
      </c>
      <c r="I13" s="136" t="s">
        <v>204</v>
      </c>
    </row>
    <row r="14" spans="1:9" ht="20.399999999999999" customHeight="1">
      <c r="A14" s="23">
        <v>5025</v>
      </c>
      <c r="B14" s="33" t="s">
        <v>46</v>
      </c>
      <c r="C14" s="76" t="s">
        <v>47</v>
      </c>
      <c r="D14" s="26">
        <v>45</v>
      </c>
      <c r="E14" s="27">
        <v>9</v>
      </c>
      <c r="F14" s="74">
        <f t="shared" si="0"/>
        <v>405</v>
      </c>
      <c r="G14" s="28">
        <v>1.2999999999999998</v>
      </c>
      <c r="H14" s="144">
        <f t="shared" si="1"/>
        <v>526.49999999999989</v>
      </c>
      <c r="I14" s="137" t="s">
        <v>204</v>
      </c>
    </row>
    <row r="15" spans="1:9" ht="20.399999999999999" customHeight="1">
      <c r="A15" s="23">
        <v>5027</v>
      </c>
      <c r="B15" s="24" t="s">
        <v>50</v>
      </c>
      <c r="C15" s="73" t="s">
        <v>51</v>
      </c>
      <c r="D15" s="26">
        <v>45</v>
      </c>
      <c r="E15" s="27">
        <v>3</v>
      </c>
      <c r="F15" s="74">
        <f t="shared" si="0"/>
        <v>135</v>
      </c>
      <c r="G15" s="28">
        <v>2</v>
      </c>
      <c r="H15" s="144">
        <f t="shared" si="1"/>
        <v>270</v>
      </c>
      <c r="I15" s="136" t="s">
        <v>204</v>
      </c>
    </row>
    <row r="16" spans="1:9" ht="20.399999999999999" customHeight="1">
      <c r="A16" s="30">
        <v>5040</v>
      </c>
      <c r="B16" s="31" t="s">
        <v>56</v>
      </c>
      <c r="C16" s="75" t="s">
        <v>57</v>
      </c>
      <c r="D16" s="26">
        <v>40</v>
      </c>
      <c r="E16" s="27">
        <v>40</v>
      </c>
      <c r="F16" s="74">
        <f t="shared" si="0"/>
        <v>1600</v>
      </c>
      <c r="G16" s="32">
        <v>1.5999999999999999</v>
      </c>
      <c r="H16" s="144">
        <f t="shared" si="1"/>
        <v>2560</v>
      </c>
      <c r="I16" s="137" t="s">
        <v>204</v>
      </c>
    </row>
    <row r="17" spans="1:9" ht="20.399999999999999" customHeight="1">
      <c r="A17" s="23">
        <v>5041</v>
      </c>
      <c r="B17" s="24" t="s">
        <v>58</v>
      </c>
      <c r="C17" s="73" t="s">
        <v>59</v>
      </c>
      <c r="D17" s="26">
        <v>45</v>
      </c>
      <c r="E17" s="27">
        <v>20</v>
      </c>
      <c r="F17" s="74">
        <f t="shared" si="0"/>
        <v>900</v>
      </c>
      <c r="G17" s="28">
        <v>1.5999999999999999</v>
      </c>
      <c r="H17" s="144">
        <f t="shared" si="1"/>
        <v>1439.9999999999998</v>
      </c>
      <c r="I17" s="136" t="s">
        <v>204</v>
      </c>
    </row>
    <row r="18" spans="1:9" ht="20.399999999999999" customHeight="1">
      <c r="A18" s="30">
        <v>5051</v>
      </c>
      <c r="B18" s="31" t="s">
        <v>62</v>
      </c>
      <c r="C18" s="73" t="s">
        <v>63</v>
      </c>
      <c r="D18" s="26">
        <v>45</v>
      </c>
      <c r="E18" s="27">
        <v>7</v>
      </c>
      <c r="F18" s="74">
        <f t="shared" si="0"/>
        <v>315</v>
      </c>
      <c r="G18" s="32">
        <v>1.5999999999999999</v>
      </c>
      <c r="H18" s="144">
        <f t="shared" si="1"/>
        <v>503.99999999999994</v>
      </c>
      <c r="I18" s="137" t="s">
        <v>204</v>
      </c>
    </row>
    <row r="19" spans="1:9" ht="20.399999999999999" customHeight="1">
      <c r="A19" s="30">
        <v>5052</v>
      </c>
      <c r="B19" s="31" t="s">
        <v>64</v>
      </c>
      <c r="C19" s="75" t="s">
        <v>65</v>
      </c>
      <c r="D19" s="26">
        <v>45</v>
      </c>
      <c r="E19" s="27">
        <v>3</v>
      </c>
      <c r="F19" s="74">
        <f t="shared" si="0"/>
        <v>135</v>
      </c>
      <c r="G19" s="32">
        <v>1.5999999999999999</v>
      </c>
      <c r="H19" s="144">
        <f t="shared" si="1"/>
        <v>215.99999999999997</v>
      </c>
      <c r="I19" s="136" t="s">
        <v>204</v>
      </c>
    </row>
    <row r="20" spans="1:9" ht="20.399999999999999" customHeight="1">
      <c r="A20" s="23">
        <v>5057</v>
      </c>
      <c r="B20" s="24" t="s">
        <v>66</v>
      </c>
      <c r="C20" s="73" t="s">
        <v>67</v>
      </c>
      <c r="D20" s="26">
        <v>45</v>
      </c>
      <c r="E20" s="27">
        <v>4</v>
      </c>
      <c r="F20" s="74">
        <f t="shared" si="0"/>
        <v>180</v>
      </c>
      <c r="G20" s="28">
        <v>2</v>
      </c>
      <c r="H20" s="144">
        <f t="shared" si="1"/>
        <v>360</v>
      </c>
      <c r="I20" s="137" t="s">
        <v>204</v>
      </c>
    </row>
    <row r="21" spans="1:9" ht="20.399999999999999" customHeight="1">
      <c r="A21" s="23">
        <v>5066</v>
      </c>
      <c r="B21" s="24" t="s">
        <v>233</v>
      </c>
      <c r="C21" s="73" t="s">
        <v>234</v>
      </c>
      <c r="D21" s="26">
        <v>20</v>
      </c>
      <c r="E21" s="27">
        <v>2</v>
      </c>
      <c r="F21" s="74">
        <f t="shared" si="0"/>
        <v>40</v>
      </c>
      <c r="G21" s="28">
        <v>3</v>
      </c>
      <c r="H21" s="144">
        <f t="shared" si="1"/>
        <v>120</v>
      </c>
      <c r="I21" s="137"/>
    </row>
    <row r="22" spans="1:9" ht="20.399999999999999" customHeight="1">
      <c r="A22" s="23">
        <v>5070</v>
      </c>
      <c r="B22" s="24" t="s">
        <v>76</v>
      </c>
      <c r="C22" s="73" t="s">
        <v>77</v>
      </c>
      <c r="D22" s="26">
        <v>45</v>
      </c>
      <c r="E22" s="27">
        <v>15</v>
      </c>
      <c r="F22" s="74">
        <f t="shared" si="0"/>
        <v>675</v>
      </c>
      <c r="G22" s="28">
        <v>1.5999999999999999</v>
      </c>
      <c r="H22" s="144">
        <f t="shared" si="1"/>
        <v>1080</v>
      </c>
      <c r="I22" s="136" t="s">
        <v>204</v>
      </c>
    </row>
    <row r="23" spans="1:9" ht="20.399999999999999" customHeight="1">
      <c r="A23" s="23">
        <v>5073</v>
      </c>
      <c r="B23" s="24" t="s">
        <v>78</v>
      </c>
      <c r="C23" s="73" t="s">
        <v>79</v>
      </c>
      <c r="D23" s="26">
        <v>45</v>
      </c>
      <c r="E23" s="27">
        <v>5</v>
      </c>
      <c r="F23" s="74">
        <f t="shared" si="0"/>
        <v>225</v>
      </c>
      <c r="G23" s="28">
        <v>1.5999999999999999</v>
      </c>
      <c r="H23" s="144">
        <f t="shared" si="1"/>
        <v>359.99999999999994</v>
      </c>
      <c r="I23" s="137" t="s">
        <v>204</v>
      </c>
    </row>
    <row r="24" spans="1:9" ht="20.399999999999999" customHeight="1">
      <c r="A24" s="23">
        <v>5074</v>
      </c>
      <c r="B24" s="24" t="s">
        <v>80</v>
      </c>
      <c r="C24" s="73" t="s">
        <v>81</v>
      </c>
      <c r="D24" s="26">
        <v>40</v>
      </c>
      <c r="E24" s="27">
        <v>30</v>
      </c>
      <c r="F24" s="74">
        <f t="shared" si="0"/>
        <v>1200</v>
      </c>
      <c r="G24" s="28">
        <v>1.5999999999999999</v>
      </c>
      <c r="H24" s="144">
        <f t="shared" si="1"/>
        <v>1919.9999999999998</v>
      </c>
      <c r="I24" s="136" t="s">
        <v>204</v>
      </c>
    </row>
    <row r="25" spans="1:9" ht="20.399999999999999" customHeight="1">
      <c r="A25" s="23">
        <v>5075</v>
      </c>
      <c r="B25" s="24" t="s">
        <v>82</v>
      </c>
      <c r="C25" s="73" t="s">
        <v>83</v>
      </c>
      <c r="D25" s="26">
        <v>45</v>
      </c>
      <c r="E25" s="27">
        <v>7</v>
      </c>
      <c r="F25" s="74">
        <f t="shared" si="0"/>
        <v>315</v>
      </c>
      <c r="G25" s="28">
        <v>1.5999999999999999</v>
      </c>
      <c r="H25" s="144">
        <f t="shared" si="1"/>
        <v>503.99999999999994</v>
      </c>
      <c r="I25" s="137" t="s">
        <v>204</v>
      </c>
    </row>
    <row r="26" spans="1:9" ht="20.399999999999999" customHeight="1">
      <c r="A26" s="23">
        <v>5076</v>
      </c>
      <c r="B26" s="24" t="s">
        <v>84</v>
      </c>
      <c r="C26" s="73" t="s">
        <v>85</v>
      </c>
      <c r="D26" s="26">
        <v>45</v>
      </c>
      <c r="E26" s="27">
        <v>6</v>
      </c>
      <c r="F26" s="74">
        <f t="shared" si="0"/>
        <v>270</v>
      </c>
      <c r="G26" s="28">
        <v>0.9</v>
      </c>
      <c r="H26" s="144">
        <f t="shared" si="1"/>
        <v>243</v>
      </c>
      <c r="I26" s="136" t="s">
        <v>204</v>
      </c>
    </row>
    <row r="27" spans="1:9" ht="20.399999999999999" customHeight="1">
      <c r="A27" s="23">
        <v>5078</v>
      </c>
      <c r="B27" s="24" t="s">
        <v>86</v>
      </c>
      <c r="C27" s="73" t="s">
        <v>87</v>
      </c>
      <c r="D27" s="26">
        <v>45</v>
      </c>
      <c r="E27" s="27">
        <v>9</v>
      </c>
      <c r="F27" s="74">
        <f t="shared" si="0"/>
        <v>405</v>
      </c>
      <c r="G27" s="28">
        <v>0.9</v>
      </c>
      <c r="H27" s="144">
        <f t="shared" si="1"/>
        <v>364.5</v>
      </c>
      <c r="I27" s="137" t="s">
        <v>204</v>
      </c>
    </row>
    <row r="28" spans="1:9" ht="20.399999999999999" customHeight="1">
      <c r="A28" s="23">
        <v>5079</v>
      </c>
      <c r="B28" s="24" t="s">
        <v>88</v>
      </c>
      <c r="C28" s="73" t="s">
        <v>89</v>
      </c>
      <c r="D28" s="26">
        <v>45</v>
      </c>
      <c r="E28" s="27">
        <v>6</v>
      </c>
      <c r="F28" s="74">
        <f t="shared" si="0"/>
        <v>270</v>
      </c>
      <c r="G28" s="28">
        <v>1.5999999999999999</v>
      </c>
      <c r="H28" s="144">
        <f t="shared" si="1"/>
        <v>431.99999999999994</v>
      </c>
      <c r="I28" s="136" t="s">
        <v>204</v>
      </c>
    </row>
    <row r="29" spans="1:9" ht="20.399999999999999" customHeight="1">
      <c r="A29" s="35">
        <v>5088</v>
      </c>
      <c r="B29" s="36" t="s">
        <v>90</v>
      </c>
      <c r="C29" s="73" t="s">
        <v>91</v>
      </c>
      <c r="D29" s="37">
        <v>45</v>
      </c>
      <c r="E29" s="38">
        <v>15</v>
      </c>
      <c r="F29" s="74">
        <f t="shared" si="0"/>
        <v>675</v>
      </c>
      <c r="G29" s="39">
        <v>1.5999999999999999</v>
      </c>
      <c r="H29" s="144">
        <f t="shared" si="1"/>
        <v>1080</v>
      </c>
      <c r="I29" s="137" t="s">
        <v>204</v>
      </c>
    </row>
    <row r="30" spans="1:9" ht="20.399999999999999" customHeight="1">
      <c r="A30" s="23">
        <v>5089</v>
      </c>
      <c r="B30" s="24" t="s">
        <v>92</v>
      </c>
      <c r="C30" s="73" t="s">
        <v>93</v>
      </c>
      <c r="D30" s="26">
        <v>45</v>
      </c>
      <c r="E30" s="27">
        <v>5</v>
      </c>
      <c r="F30" s="74">
        <f t="shared" si="0"/>
        <v>225</v>
      </c>
      <c r="G30" s="28">
        <v>1.5999999999999999</v>
      </c>
      <c r="H30" s="144">
        <f t="shared" si="1"/>
        <v>359.99999999999994</v>
      </c>
      <c r="I30" s="136" t="s">
        <v>204</v>
      </c>
    </row>
    <row r="31" spans="1:9" ht="20.399999999999999" customHeight="1">
      <c r="A31" s="23">
        <v>5090</v>
      </c>
      <c r="B31" s="24" t="s">
        <v>94</v>
      </c>
      <c r="C31" s="73" t="s">
        <v>95</v>
      </c>
      <c r="D31" s="26">
        <v>100</v>
      </c>
      <c r="E31" s="27">
        <v>4</v>
      </c>
      <c r="F31" s="74">
        <f t="shared" si="0"/>
        <v>400</v>
      </c>
      <c r="G31" s="28">
        <v>1.5999999999999999</v>
      </c>
      <c r="H31" s="144">
        <f t="shared" si="1"/>
        <v>640</v>
      </c>
      <c r="I31" s="137" t="s">
        <v>204</v>
      </c>
    </row>
    <row r="32" spans="1:9" ht="20.399999999999999" customHeight="1">
      <c r="A32" s="23">
        <v>5092</v>
      </c>
      <c r="B32" s="24" t="s">
        <v>96</v>
      </c>
      <c r="C32" s="77" t="s">
        <v>97</v>
      </c>
      <c r="D32" s="26">
        <v>100</v>
      </c>
      <c r="E32" s="27">
        <v>1</v>
      </c>
      <c r="F32" s="74">
        <f t="shared" si="0"/>
        <v>100</v>
      </c>
      <c r="G32" s="28">
        <v>0.8</v>
      </c>
      <c r="H32" s="144">
        <f t="shared" si="1"/>
        <v>80</v>
      </c>
      <c r="I32" s="136" t="s">
        <v>204</v>
      </c>
    </row>
    <row r="33" spans="1:9" ht="20.399999999999999" customHeight="1">
      <c r="A33" s="23">
        <v>5091</v>
      </c>
      <c r="B33" s="24" t="s">
        <v>237</v>
      </c>
      <c r="C33" s="77" t="s">
        <v>238</v>
      </c>
      <c r="D33" s="26">
        <v>100</v>
      </c>
      <c r="E33" s="27">
        <v>1</v>
      </c>
      <c r="F33" s="74">
        <f t="shared" si="0"/>
        <v>100</v>
      </c>
      <c r="G33" s="28">
        <v>0.8</v>
      </c>
      <c r="H33" s="144">
        <f t="shared" si="1"/>
        <v>80</v>
      </c>
      <c r="I33" s="136"/>
    </row>
    <row r="34" spans="1:9" ht="20.399999999999999" customHeight="1">
      <c r="A34" s="23">
        <v>5093</v>
      </c>
      <c r="B34" s="24" t="s">
        <v>98</v>
      </c>
      <c r="C34" s="73" t="s">
        <v>99</v>
      </c>
      <c r="D34" s="26">
        <v>25</v>
      </c>
      <c r="E34" s="27">
        <v>3</v>
      </c>
      <c r="F34" s="74">
        <f t="shared" si="0"/>
        <v>75</v>
      </c>
      <c r="G34" s="28">
        <v>0.9</v>
      </c>
      <c r="H34" s="144">
        <f t="shared" si="1"/>
        <v>67.5</v>
      </c>
      <c r="I34" s="137" t="s">
        <v>204</v>
      </c>
    </row>
    <row r="35" spans="1:9" ht="20.399999999999999" customHeight="1">
      <c r="A35" s="23">
        <v>5096</v>
      </c>
      <c r="B35" s="24" t="s">
        <v>104</v>
      </c>
      <c r="C35" s="73" t="s">
        <v>105</v>
      </c>
      <c r="D35" s="26">
        <v>45</v>
      </c>
      <c r="E35" s="27">
        <v>12</v>
      </c>
      <c r="F35" s="74">
        <f t="shared" si="0"/>
        <v>540</v>
      </c>
      <c r="G35" s="28">
        <v>3</v>
      </c>
      <c r="H35" s="144">
        <f t="shared" si="1"/>
        <v>1620</v>
      </c>
      <c r="I35" s="136" t="s">
        <v>204</v>
      </c>
    </row>
    <row r="36" spans="1:9" ht="20.399999999999999" customHeight="1">
      <c r="A36" s="30">
        <v>5097</v>
      </c>
      <c r="B36" s="31" t="s">
        <v>106</v>
      </c>
      <c r="C36" s="73" t="s">
        <v>107</v>
      </c>
      <c r="D36" s="26">
        <v>45</v>
      </c>
      <c r="E36" s="27">
        <v>4</v>
      </c>
      <c r="F36" s="74">
        <f t="shared" si="0"/>
        <v>180</v>
      </c>
      <c r="G36" s="32">
        <v>1.5999999999999999</v>
      </c>
      <c r="H36" s="144">
        <f t="shared" si="1"/>
        <v>288</v>
      </c>
      <c r="I36" s="137" t="s">
        <v>204</v>
      </c>
    </row>
    <row r="37" spans="1:9" ht="20.399999999999999" customHeight="1">
      <c r="A37" s="23">
        <v>5102</v>
      </c>
      <c r="B37" s="24" t="s">
        <v>112</v>
      </c>
      <c r="C37" s="73" t="s">
        <v>113</v>
      </c>
      <c r="D37" s="26">
        <v>45</v>
      </c>
      <c r="E37" s="27">
        <v>2</v>
      </c>
      <c r="F37" s="74">
        <f t="shared" si="0"/>
        <v>90</v>
      </c>
      <c r="G37" s="28">
        <v>3.5</v>
      </c>
      <c r="H37" s="144">
        <f t="shared" si="1"/>
        <v>315</v>
      </c>
      <c r="I37" s="136" t="s">
        <v>204</v>
      </c>
    </row>
    <row r="38" spans="1:9" ht="20.399999999999999" customHeight="1">
      <c r="A38" s="23">
        <v>5103</v>
      </c>
      <c r="B38" s="24" t="s">
        <v>227</v>
      </c>
      <c r="C38" s="73" t="s">
        <v>228</v>
      </c>
      <c r="D38" s="26">
        <v>45</v>
      </c>
      <c r="E38" s="27">
        <v>2</v>
      </c>
      <c r="F38" s="74">
        <f t="shared" si="0"/>
        <v>90</v>
      </c>
      <c r="G38" s="28">
        <v>3.5</v>
      </c>
      <c r="H38" s="144">
        <f t="shared" si="1"/>
        <v>315</v>
      </c>
      <c r="I38" s="136"/>
    </row>
    <row r="39" spans="1:9" ht="20.399999999999999" customHeight="1">
      <c r="A39" s="35">
        <v>5104</v>
      </c>
      <c r="B39" s="45" t="s">
        <v>114</v>
      </c>
      <c r="C39" s="73" t="s">
        <v>115</v>
      </c>
      <c r="D39" s="37">
        <v>40</v>
      </c>
      <c r="E39" s="38">
        <v>1</v>
      </c>
      <c r="F39" s="74">
        <f t="shared" si="0"/>
        <v>40</v>
      </c>
      <c r="G39" s="39">
        <v>1.5999999999999999</v>
      </c>
      <c r="H39" s="144">
        <f t="shared" si="1"/>
        <v>63.999999999999993</v>
      </c>
      <c r="I39" s="137" t="s">
        <v>204</v>
      </c>
    </row>
    <row r="40" spans="1:9" ht="20.399999999999999" customHeight="1">
      <c r="A40" s="23">
        <v>5108</v>
      </c>
      <c r="B40" s="24" t="s">
        <v>122</v>
      </c>
      <c r="C40" s="73" t="s">
        <v>123</v>
      </c>
      <c r="D40" s="26">
        <v>45</v>
      </c>
      <c r="E40" s="27">
        <v>5</v>
      </c>
      <c r="F40" s="74">
        <f t="shared" si="0"/>
        <v>225</v>
      </c>
      <c r="G40" s="28">
        <v>1.5999999999999999</v>
      </c>
      <c r="H40" s="144">
        <f t="shared" si="1"/>
        <v>359.99999999999994</v>
      </c>
      <c r="I40" s="136" t="s">
        <v>204</v>
      </c>
    </row>
    <row r="41" spans="1:9" ht="20.399999999999999" customHeight="1">
      <c r="A41" s="30">
        <v>5110</v>
      </c>
      <c r="B41" s="31" t="s">
        <v>125</v>
      </c>
      <c r="C41" s="73" t="s">
        <v>126</v>
      </c>
      <c r="D41" s="26">
        <v>45</v>
      </c>
      <c r="E41" s="27">
        <v>10</v>
      </c>
      <c r="F41" s="74">
        <f t="shared" si="0"/>
        <v>450</v>
      </c>
      <c r="G41" s="32">
        <v>1.5999999999999999</v>
      </c>
      <c r="H41" s="144">
        <f t="shared" si="1"/>
        <v>719.99999999999989</v>
      </c>
      <c r="I41" s="137" t="s">
        <v>204</v>
      </c>
    </row>
    <row r="42" spans="1:9" ht="20.399999999999999" customHeight="1">
      <c r="A42" s="30">
        <v>5116</v>
      </c>
      <c r="B42" s="31" t="s">
        <v>229</v>
      </c>
      <c r="C42" s="73" t="s">
        <v>230</v>
      </c>
      <c r="D42" s="26">
        <v>45</v>
      </c>
      <c r="E42" s="27">
        <v>25</v>
      </c>
      <c r="F42" s="74">
        <f t="shared" si="0"/>
        <v>1125</v>
      </c>
      <c r="G42" s="32">
        <v>1.6</v>
      </c>
      <c r="H42" s="144">
        <f t="shared" si="1"/>
        <v>1800</v>
      </c>
      <c r="I42" s="137"/>
    </row>
    <row r="43" spans="1:9" ht="20.399999999999999" customHeight="1">
      <c r="A43" s="30">
        <v>5117</v>
      </c>
      <c r="B43" s="31" t="s">
        <v>231</v>
      </c>
      <c r="C43" s="73" t="s">
        <v>232</v>
      </c>
      <c r="D43" s="26">
        <v>45</v>
      </c>
      <c r="E43" s="27">
        <v>2</v>
      </c>
      <c r="F43" s="74">
        <f t="shared" si="0"/>
        <v>90</v>
      </c>
      <c r="G43" s="32">
        <v>1.6</v>
      </c>
      <c r="H43" s="144">
        <f t="shared" si="1"/>
        <v>144</v>
      </c>
      <c r="I43" s="137"/>
    </row>
    <row r="44" spans="1:9" ht="20.399999999999999" customHeight="1">
      <c r="A44" s="23">
        <v>5118</v>
      </c>
      <c r="B44" s="24" t="s">
        <v>129</v>
      </c>
      <c r="C44" s="73" t="s">
        <v>130</v>
      </c>
      <c r="D44" s="26">
        <v>20</v>
      </c>
      <c r="E44" s="27">
        <v>2</v>
      </c>
      <c r="F44" s="74">
        <f t="shared" si="0"/>
        <v>40</v>
      </c>
      <c r="G44" s="28">
        <v>3</v>
      </c>
      <c r="H44" s="144">
        <f t="shared" si="1"/>
        <v>120</v>
      </c>
      <c r="I44" s="136" t="s">
        <v>204</v>
      </c>
    </row>
    <row r="45" spans="1:9" ht="20.399999999999999" customHeight="1">
      <c r="A45" s="51">
        <v>5119</v>
      </c>
      <c r="B45" s="16" t="s">
        <v>235</v>
      </c>
      <c r="C45" s="73" t="s">
        <v>236</v>
      </c>
      <c r="D45" s="18">
        <v>45</v>
      </c>
      <c r="E45" s="19">
        <v>1</v>
      </c>
      <c r="F45" s="74">
        <f t="shared" si="0"/>
        <v>45</v>
      </c>
      <c r="G45" s="21">
        <v>1.6</v>
      </c>
      <c r="H45" s="144">
        <f t="shared" si="1"/>
        <v>72</v>
      </c>
      <c r="I45" s="136"/>
    </row>
    <row r="46" spans="1:9" ht="20.399999999999999" customHeight="1">
      <c r="A46" s="145">
        <v>301</v>
      </c>
      <c r="B46" s="140" t="s">
        <v>141</v>
      </c>
      <c r="C46" s="78" t="s">
        <v>13</v>
      </c>
      <c r="D46" s="141">
        <v>45</v>
      </c>
      <c r="E46" s="142">
        <v>15</v>
      </c>
      <c r="F46" s="74">
        <f t="shared" si="0"/>
        <v>675</v>
      </c>
      <c r="G46" s="143">
        <v>0.79999999999999993</v>
      </c>
      <c r="H46" s="144">
        <f t="shared" si="1"/>
        <v>540</v>
      </c>
      <c r="I46" s="137" t="s">
        <v>204</v>
      </c>
    </row>
    <row r="47" spans="1:9" ht="20.399999999999999" customHeight="1">
      <c r="A47" s="23">
        <v>302</v>
      </c>
      <c r="B47" s="24" t="s">
        <v>142</v>
      </c>
      <c r="C47" s="77" t="s">
        <v>143</v>
      </c>
      <c r="D47" s="26">
        <v>45</v>
      </c>
      <c r="E47" s="27">
        <v>10</v>
      </c>
      <c r="F47" s="74">
        <f t="shared" si="0"/>
        <v>450</v>
      </c>
      <c r="G47" s="28">
        <v>0.59999999999999987</v>
      </c>
      <c r="H47" s="144">
        <f t="shared" si="1"/>
        <v>269.99999999999994</v>
      </c>
      <c r="I47" s="136" t="s">
        <v>204</v>
      </c>
    </row>
    <row r="48" spans="1:9" ht="20.399999999999999" customHeight="1">
      <c r="A48" s="23">
        <v>310</v>
      </c>
      <c r="B48" s="24" t="s">
        <v>146</v>
      </c>
      <c r="C48" s="73" t="s">
        <v>147</v>
      </c>
      <c r="D48" s="26">
        <v>45</v>
      </c>
      <c r="E48" s="27">
        <v>5</v>
      </c>
      <c r="F48" s="74">
        <f t="shared" si="0"/>
        <v>225</v>
      </c>
      <c r="G48" s="28">
        <v>0.79999999999999993</v>
      </c>
      <c r="H48" s="144">
        <f t="shared" si="1"/>
        <v>179.99999999999997</v>
      </c>
      <c r="I48" s="137" t="s">
        <v>204</v>
      </c>
    </row>
    <row r="49" spans="1:9" ht="20.399999999999999" customHeight="1">
      <c r="A49" s="41">
        <v>313</v>
      </c>
      <c r="B49" s="42" t="s">
        <v>32</v>
      </c>
      <c r="C49" s="73" t="s">
        <v>35</v>
      </c>
      <c r="D49" s="26">
        <v>45</v>
      </c>
      <c r="E49" s="42">
        <v>5</v>
      </c>
      <c r="F49" s="74">
        <f>D49*E49</f>
        <v>225</v>
      </c>
      <c r="G49" s="43">
        <v>0.69999999999999984</v>
      </c>
      <c r="H49" s="144">
        <f t="shared" si="1"/>
        <v>157.49999999999997</v>
      </c>
      <c r="I49" s="136" t="s">
        <v>204</v>
      </c>
    </row>
    <row r="50" spans="1:9" ht="20.399999999999999" customHeight="1">
      <c r="A50" s="41">
        <v>320</v>
      </c>
      <c r="B50" s="42" t="s">
        <v>148</v>
      </c>
      <c r="C50" s="73" t="s">
        <v>149</v>
      </c>
      <c r="D50" s="26">
        <v>45</v>
      </c>
      <c r="E50" s="42">
        <v>15</v>
      </c>
      <c r="F50" s="74">
        <f t="shared" si="0"/>
        <v>675</v>
      </c>
      <c r="G50" s="43">
        <v>0.69999999999999984</v>
      </c>
      <c r="H50" s="144">
        <f t="shared" si="1"/>
        <v>472.49999999999989</v>
      </c>
      <c r="I50" s="137" t="s">
        <v>204</v>
      </c>
    </row>
    <row r="51" spans="1:9" ht="20.399999999999999" customHeight="1">
      <c r="A51" s="41">
        <v>328</v>
      </c>
      <c r="B51" s="42" t="s">
        <v>152</v>
      </c>
      <c r="C51" s="73" t="s">
        <v>153</v>
      </c>
      <c r="D51" s="26">
        <v>45</v>
      </c>
      <c r="E51" s="42">
        <v>40</v>
      </c>
      <c r="F51" s="74">
        <f t="shared" si="0"/>
        <v>1800</v>
      </c>
      <c r="G51" s="43">
        <v>1.2</v>
      </c>
      <c r="H51" s="144">
        <f t="shared" si="1"/>
        <v>2160</v>
      </c>
      <c r="I51" s="136" t="s">
        <v>204</v>
      </c>
    </row>
    <row r="52" spans="1:9" ht="20.399999999999999" customHeight="1">
      <c r="A52" s="23">
        <v>337</v>
      </c>
      <c r="B52" s="24" t="s">
        <v>154</v>
      </c>
      <c r="C52" s="78" t="s">
        <v>155</v>
      </c>
      <c r="D52" s="26">
        <v>45</v>
      </c>
      <c r="E52" s="27">
        <v>40</v>
      </c>
      <c r="F52" s="74">
        <f t="shared" si="0"/>
        <v>1800</v>
      </c>
      <c r="G52" s="28">
        <v>0.64999999999999991</v>
      </c>
      <c r="H52" s="144">
        <f t="shared" si="1"/>
        <v>1169.9999999999998</v>
      </c>
      <c r="I52" s="137" t="s">
        <v>204</v>
      </c>
    </row>
    <row r="53" spans="1:9" ht="20.399999999999999" customHeight="1">
      <c r="A53" s="41">
        <v>340</v>
      </c>
      <c r="B53" s="42" t="s">
        <v>156</v>
      </c>
      <c r="C53" s="73" t="s">
        <v>61</v>
      </c>
      <c r="D53" s="26">
        <v>45</v>
      </c>
      <c r="E53" s="42">
        <v>10</v>
      </c>
      <c r="F53" s="74">
        <f t="shared" si="0"/>
        <v>450</v>
      </c>
      <c r="G53" s="43">
        <v>0.69999999999999984</v>
      </c>
      <c r="H53" s="144">
        <f t="shared" si="1"/>
        <v>314.99999999999994</v>
      </c>
      <c r="I53" s="136" t="s">
        <v>204</v>
      </c>
    </row>
    <row r="54" spans="1:9" ht="20.399999999999999" customHeight="1">
      <c r="A54" s="35">
        <v>346</v>
      </c>
      <c r="B54" s="36" t="s">
        <v>159</v>
      </c>
      <c r="C54" s="73" t="s">
        <v>160</v>
      </c>
      <c r="D54" s="26">
        <v>45</v>
      </c>
      <c r="E54" s="38">
        <v>5</v>
      </c>
      <c r="F54" s="74">
        <f t="shared" si="0"/>
        <v>225</v>
      </c>
      <c r="G54" s="39">
        <v>0.7</v>
      </c>
      <c r="H54" s="144">
        <f t="shared" si="1"/>
        <v>157.5</v>
      </c>
      <c r="I54" s="137" t="s">
        <v>204</v>
      </c>
    </row>
    <row r="55" spans="1:9" ht="20.399999999999999" customHeight="1">
      <c r="A55" s="23">
        <v>350</v>
      </c>
      <c r="B55" s="24" t="s">
        <v>161</v>
      </c>
      <c r="C55" s="73" t="s">
        <v>162</v>
      </c>
      <c r="D55" s="26">
        <v>45</v>
      </c>
      <c r="E55" s="27">
        <v>20</v>
      </c>
      <c r="F55" s="74">
        <f t="shared" si="0"/>
        <v>900</v>
      </c>
      <c r="G55" s="28">
        <v>0.79999999999999993</v>
      </c>
      <c r="H55" s="144">
        <f t="shared" si="1"/>
        <v>719.99999999999989</v>
      </c>
      <c r="I55" s="136" t="s">
        <v>204</v>
      </c>
    </row>
    <row r="56" spans="1:9" ht="20.399999999999999" customHeight="1">
      <c r="A56" s="41">
        <v>357</v>
      </c>
      <c r="B56" s="42" t="s">
        <v>163</v>
      </c>
      <c r="C56" s="73" t="s">
        <v>164</v>
      </c>
      <c r="D56" s="26">
        <v>45</v>
      </c>
      <c r="E56" s="42">
        <v>15</v>
      </c>
      <c r="F56" s="74">
        <f t="shared" si="0"/>
        <v>675</v>
      </c>
      <c r="G56" s="43">
        <v>0.69999999999999984</v>
      </c>
      <c r="H56" s="144">
        <f t="shared" si="1"/>
        <v>472.49999999999989</v>
      </c>
      <c r="I56" s="137" t="s">
        <v>204</v>
      </c>
    </row>
    <row r="57" spans="1:9" ht="20.399999999999999" customHeight="1">
      <c r="A57" s="23">
        <v>358</v>
      </c>
      <c r="B57" s="24" t="s">
        <v>165</v>
      </c>
      <c r="C57" s="73" t="s">
        <v>105</v>
      </c>
      <c r="D57" s="26">
        <v>45</v>
      </c>
      <c r="E57" s="27">
        <v>30</v>
      </c>
      <c r="F57" s="74">
        <f t="shared" si="0"/>
        <v>1350</v>
      </c>
      <c r="G57" s="28">
        <v>0.79999999999999993</v>
      </c>
      <c r="H57" s="144">
        <f t="shared" si="1"/>
        <v>1080</v>
      </c>
      <c r="I57" s="136" t="s">
        <v>204</v>
      </c>
    </row>
    <row r="58" spans="1:9" ht="20.399999999999999" customHeight="1">
      <c r="A58" s="23">
        <v>370</v>
      </c>
      <c r="B58" s="24" t="s">
        <v>171</v>
      </c>
      <c r="C58" s="78" t="s">
        <v>77</v>
      </c>
      <c r="D58" s="26">
        <v>45</v>
      </c>
      <c r="E58" s="27">
        <v>5</v>
      </c>
      <c r="F58" s="74">
        <f t="shared" si="0"/>
        <v>225</v>
      </c>
      <c r="G58" s="28">
        <v>0.7</v>
      </c>
      <c r="H58" s="144">
        <f t="shared" si="1"/>
        <v>157.5</v>
      </c>
      <c r="I58" s="137" t="s">
        <v>204</v>
      </c>
    </row>
    <row r="59" spans="1:9" ht="20.399999999999999" customHeight="1">
      <c r="A59" s="23">
        <v>373</v>
      </c>
      <c r="B59" s="24" t="s">
        <v>78</v>
      </c>
      <c r="C59" s="73" t="s">
        <v>172</v>
      </c>
      <c r="D59" s="26">
        <v>45</v>
      </c>
      <c r="E59" s="27">
        <v>3</v>
      </c>
      <c r="F59" s="74">
        <f t="shared" si="0"/>
        <v>135</v>
      </c>
      <c r="G59" s="28">
        <v>0.59999999999999987</v>
      </c>
      <c r="H59" s="144">
        <f t="shared" si="1"/>
        <v>80.999999999999986</v>
      </c>
      <c r="I59" s="136" t="s">
        <v>204</v>
      </c>
    </row>
    <row r="60" spans="1:9" ht="20.399999999999999" customHeight="1">
      <c r="A60" s="41">
        <v>390</v>
      </c>
      <c r="B60" s="42" t="s">
        <v>173</v>
      </c>
      <c r="C60" s="78" t="s">
        <v>174</v>
      </c>
      <c r="D60" s="26">
        <v>25</v>
      </c>
      <c r="E60" s="42">
        <v>2</v>
      </c>
      <c r="F60" s="74">
        <f t="shared" si="0"/>
        <v>50</v>
      </c>
      <c r="G60" s="43">
        <v>0.69999999999999984</v>
      </c>
      <c r="H60" s="144">
        <f t="shared" si="1"/>
        <v>34.999999999999993</v>
      </c>
      <c r="I60" s="137" t="s">
        <v>204</v>
      </c>
    </row>
    <row r="61" spans="1:9" ht="20.399999999999999" customHeight="1">
      <c r="A61" s="23">
        <v>395</v>
      </c>
      <c r="B61" s="24" t="s">
        <v>175</v>
      </c>
      <c r="C61" s="73" t="s">
        <v>176</v>
      </c>
      <c r="D61" s="26">
        <v>45</v>
      </c>
      <c r="E61" s="27">
        <v>20</v>
      </c>
      <c r="F61" s="74">
        <f t="shared" si="0"/>
        <v>900</v>
      </c>
      <c r="G61" s="28">
        <v>0.79999999999999993</v>
      </c>
      <c r="H61" s="144">
        <f t="shared" si="1"/>
        <v>719.99999999999989</v>
      </c>
      <c r="I61" s="136" t="s">
        <v>204</v>
      </c>
    </row>
    <row r="62" spans="1:9" ht="20.399999999999999" customHeight="1">
      <c r="A62" s="146">
        <v>910</v>
      </c>
      <c r="B62" s="147" t="s">
        <v>179</v>
      </c>
      <c r="C62" s="78" t="s">
        <v>180</v>
      </c>
      <c r="D62" s="147">
        <v>25</v>
      </c>
      <c r="E62" s="147">
        <v>5</v>
      </c>
      <c r="F62" s="74">
        <f t="shared" si="0"/>
        <v>125</v>
      </c>
      <c r="G62" s="148">
        <v>1.0999999999999999</v>
      </c>
      <c r="H62" s="144">
        <f t="shared" si="1"/>
        <v>137.49999999999997</v>
      </c>
      <c r="I62" s="137" t="s">
        <v>204</v>
      </c>
    </row>
    <row r="63" spans="1:9" ht="20.399999999999999" customHeight="1">
      <c r="A63" s="30">
        <v>405</v>
      </c>
      <c r="B63" s="31" t="s">
        <v>191</v>
      </c>
      <c r="C63" s="73" t="s">
        <v>192</v>
      </c>
      <c r="D63" s="26">
        <v>25</v>
      </c>
      <c r="E63" s="27">
        <v>5</v>
      </c>
      <c r="F63" s="74">
        <f t="shared" si="0"/>
        <v>125</v>
      </c>
      <c r="G63" s="32">
        <v>2.5</v>
      </c>
      <c r="H63" s="144">
        <f t="shared" si="1"/>
        <v>312.5</v>
      </c>
      <c r="I63" s="136" t="s">
        <v>204</v>
      </c>
    </row>
    <row r="64" spans="1:9" ht="20.399999999999999" customHeight="1">
      <c r="A64" s="23">
        <v>850</v>
      </c>
      <c r="B64" s="24" t="s">
        <v>195</v>
      </c>
      <c r="C64" s="73" t="s">
        <v>196</v>
      </c>
      <c r="D64" s="26">
        <v>90</v>
      </c>
      <c r="E64" s="27">
        <v>1</v>
      </c>
      <c r="F64" s="74">
        <f t="shared" si="0"/>
        <v>90</v>
      </c>
      <c r="G64" s="28">
        <v>0.65</v>
      </c>
      <c r="H64" s="144">
        <f t="shared" si="1"/>
        <v>58.5</v>
      </c>
      <c r="I64" s="137" t="s">
        <v>204</v>
      </c>
    </row>
    <row r="65" spans="1:9" ht="20.399999999999999" customHeight="1">
      <c r="A65" s="23">
        <v>865</v>
      </c>
      <c r="B65" s="24" t="s">
        <v>197</v>
      </c>
      <c r="C65" s="73" t="s">
        <v>198</v>
      </c>
      <c r="D65" s="26">
        <v>20</v>
      </c>
      <c r="E65" s="27">
        <v>5</v>
      </c>
      <c r="F65" s="74">
        <f t="shared" si="0"/>
        <v>100</v>
      </c>
      <c r="G65" s="28">
        <v>0.60000000000000009</v>
      </c>
      <c r="H65" s="144">
        <f t="shared" si="1"/>
        <v>60.000000000000007</v>
      </c>
      <c r="I65" s="136" t="s">
        <v>204</v>
      </c>
    </row>
    <row r="66" spans="1:9" ht="20.399999999999999" customHeight="1">
      <c r="A66" s="23">
        <v>870</v>
      </c>
      <c r="B66" s="24" t="s">
        <v>199</v>
      </c>
      <c r="C66" s="73" t="s">
        <v>200</v>
      </c>
      <c r="D66" s="26">
        <v>100</v>
      </c>
      <c r="E66" s="27">
        <v>2</v>
      </c>
      <c r="F66" s="74">
        <f t="shared" si="0"/>
        <v>200</v>
      </c>
      <c r="G66" s="28">
        <v>2.2999999999999998</v>
      </c>
      <c r="H66" s="144">
        <f t="shared" si="1"/>
        <v>459.99999999999994</v>
      </c>
      <c r="I66" s="137" t="s">
        <v>204</v>
      </c>
    </row>
    <row r="67" spans="1:9" ht="20.399999999999999" customHeight="1">
      <c r="A67" s="23">
        <v>1025</v>
      </c>
      <c r="B67" s="24" t="s">
        <v>201</v>
      </c>
      <c r="C67" s="73" t="s">
        <v>202</v>
      </c>
      <c r="D67" s="26">
        <v>25</v>
      </c>
      <c r="E67" s="27">
        <v>2</v>
      </c>
      <c r="F67" s="74">
        <f t="shared" si="0"/>
        <v>50</v>
      </c>
      <c r="G67" s="28">
        <v>1.5999999999999999</v>
      </c>
      <c r="H67" s="144">
        <f t="shared" si="1"/>
        <v>80</v>
      </c>
      <c r="I67" s="136" t="s">
        <v>204</v>
      </c>
    </row>
  </sheetData>
  <conditionalFormatting sqref="A4:A45">
    <cfRule type="duplicateValues" dxfId="39" priority="4"/>
  </conditionalFormatting>
  <conditionalFormatting sqref="A46:A61">
    <cfRule type="duplicateValues" dxfId="38" priority="3"/>
  </conditionalFormatting>
  <conditionalFormatting sqref="A63">
    <cfRule type="duplicateValues" dxfId="37" priority="1"/>
  </conditionalFormatting>
  <conditionalFormatting sqref="A64:A67 A62">
    <cfRule type="duplicateValues" dxfId="3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1"/>
  <sheetViews>
    <sheetView workbookViewId="0">
      <selection activeCell="A38" sqref="A38"/>
    </sheetView>
  </sheetViews>
  <sheetFormatPr baseColWidth="10" defaultRowHeight="13.8"/>
  <cols>
    <col min="1" max="1" width="11.296875" customWidth="1"/>
    <col min="2" max="2" width="18.796875" customWidth="1"/>
    <col min="3" max="3" width="43.19921875" customWidth="1"/>
    <col min="4" max="4" width="14.796875" customWidth="1"/>
    <col min="7" max="7" width="15.8984375" customWidth="1"/>
    <col min="8" max="8" width="22.19921875" bestFit="1" customWidth="1"/>
  </cols>
  <sheetData>
    <row r="1" spans="1:11" ht="21.6" thickBot="1">
      <c r="A1" s="85"/>
      <c r="B1" s="154" t="s">
        <v>206</v>
      </c>
      <c r="C1" s="154"/>
      <c r="D1" s="154"/>
      <c r="E1" s="154"/>
      <c r="F1" s="154"/>
      <c r="G1" s="86">
        <v>2408</v>
      </c>
      <c r="H1" s="87"/>
    </row>
    <row r="2" spans="1:11" ht="18.600000000000001" customHeight="1">
      <c r="A2" s="89" t="s">
        <v>207</v>
      </c>
      <c r="B2" s="90"/>
      <c r="C2" s="89"/>
      <c r="D2" s="132">
        <f ca="1">TODAY()</f>
        <v>45706</v>
      </c>
      <c r="F2" s="108" t="s">
        <v>217</v>
      </c>
      <c r="G2" s="88" t="s">
        <v>212</v>
      </c>
      <c r="H2" s="109"/>
      <c r="K2" s="91"/>
    </row>
    <row r="3" spans="1:11" ht="18.600000000000001" customHeight="1">
      <c r="A3" s="92" t="s">
        <v>208</v>
      </c>
      <c r="B3" s="93"/>
      <c r="C3" s="92"/>
      <c r="D3" s="106"/>
      <c r="E3" s="106"/>
      <c r="F3" s="106"/>
      <c r="G3" s="106"/>
      <c r="H3" s="109"/>
    </row>
    <row r="4" spans="1:11" ht="18.600000000000001" customHeight="1">
      <c r="A4" s="92" t="s">
        <v>209</v>
      </c>
      <c r="B4" s="93"/>
      <c r="C4" s="92"/>
      <c r="D4" s="106"/>
      <c r="E4" s="124" t="s">
        <v>220</v>
      </c>
      <c r="F4" s="125"/>
      <c r="G4" s="125"/>
      <c r="H4" s="109"/>
    </row>
    <row r="5" spans="1:11" ht="18.600000000000001" customHeight="1">
      <c r="A5" s="92" t="s">
        <v>210</v>
      </c>
      <c r="B5" s="93"/>
      <c r="C5" s="92"/>
      <c r="D5" s="106"/>
      <c r="E5" s="126" t="s">
        <v>221</v>
      </c>
      <c r="F5" s="127"/>
      <c r="G5" s="103"/>
      <c r="H5" s="109"/>
    </row>
    <row r="6" spans="1:11" ht="18.600000000000001" customHeight="1">
      <c r="A6" s="92" t="s">
        <v>211</v>
      </c>
      <c r="B6" s="93"/>
      <c r="C6" s="92"/>
      <c r="D6" s="106"/>
      <c r="E6" s="128" t="s">
        <v>222</v>
      </c>
      <c r="F6" s="127"/>
      <c r="G6" s="103"/>
      <c r="H6" s="107"/>
      <c r="J6" s="88"/>
      <c r="K6" s="94"/>
    </row>
    <row r="7" spans="1:11" ht="18.600000000000001" customHeight="1">
      <c r="A7" s="92" t="s">
        <v>213</v>
      </c>
      <c r="B7" s="95"/>
      <c r="C7" s="92"/>
      <c r="D7" s="106"/>
      <c r="E7" s="126" t="s">
        <v>223</v>
      </c>
      <c r="F7" s="127"/>
      <c r="G7" s="103"/>
      <c r="H7" s="94"/>
      <c r="I7" s="96"/>
      <c r="J7" s="96"/>
      <c r="K7" s="94"/>
    </row>
    <row r="8" spans="1:11" ht="18.600000000000001" customHeight="1">
      <c r="A8" s="92" t="s">
        <v>214</v>
      </c>
      <c r="B8" s="93"/>
      <c r="C8" s="92"/>
      <c r="D8" s="106"/>
      <c r="E8" s="129" t="s">
        <v>224</v>
      </c>
      <c r="F8" s="130"/>
      <c r="G8" s="131"/>
      <c r="H8" s="110"/>
      <c r="J8" s="97"/>
      <c r="K8" s="94"/>
    </row>
    <row r="9" spans="1:11" ht="18.600000000000001" customHeight="1">
      <c r="A9" s="92" t="s">
        <v>215</v>
      </c>
      <c r="B9" s="93"/>
      <c r="C9" s="92"/>
      <c r="D9" s="98"/>
      <c r="H9" s="111"/>
      <c r="I9" s="99"/>
      <c r="J9" s="98"/>
      <c r="K9" s="100"/>
    </row>
    <row r="10" spans="1:11" ht="18.600000000000001" customHeight="1" thickBot="1">
      <c r="A10" s="101" t="s">
        <v>216</v>
      </c>
      <c r="B10" s="102"/>
      <c r="C10" s="92"/>
      <c r="D10" s="98"/>
      <c r="H10" s="94"/>
      <c r="I10" s="88"/>
      <c r="J10" s="88"/>
      <c r="K10" s="100"/>
    </row>
    <row r="11" spans="1:11" ht="30.6" customHeight="1" thickBot="1">
      <c r="A11" s="4" t="s">
        <v>1</v>
      </c>
      <c r="B11" s="5" t="s">
        <v>2</v>
      </c>
      <c r="C11" s="4" t="s">
        <v>3</v>
      </c>
      <c r="D11" s="6" t="s">
        <v>4</v>
      </c>
      <c r="E11" s="7" t="s">
        <v>5</v>
      </c>
      <c r="F11" s="8" t="s">
        <v>6</v>
      </c>
      <c r="G11" s="9" t="s">
        <v>7</v>
      </c>
      <c r="H11" s="4" t="s">
        <v>8</v>
      </c>
    </row>
    <row r="12" spans="1:11" ht="20.399999999999999" customHeight="1" thickBot="1">
      <c r="A12" s="5"/>
      <c r="B12" s="10"/>
      <c r="C12" s="11" t="s">
        <v>9</v>
      </c>
      <c r="D12" s="10"/>
      <c r="E12" s="12"/>
      <c r="F12" s="13"/>
      <c r="G12" s="12"/>
      <c r="H12" s="14"/>
    </row>
    <row r="13" spans="1:11" ht="18.600000000000001" customHeight="1">
      <c r="A13" s="112">
        <v>5002</v>
      </c>
      <c r="B13" s="24" t="s">
        <v>14</v>
      </c>
      <c r="C13" s="73" t="s">
        <v>15</v>
      </c>
      <c r="D13" s="26">
        <v>40</v>
      </c>
      <c r="E13" s="27">
        <v>5</v>
      </c>
      <c r="F13" s="74">
        <f t="shared" ref="F13:F42" si="0">D13*E13</f>
        <v>200</v>
      </c>
      <c r="G13" s="28">
        <v>2.1</v>
      </c>
      <c r="H13" s="113">
        <f t="shared" ref="H13:H42" si="1">F13*G13</f>
        <v>420</v>
      </c>
    </row>
    <row r="14" spans="1:11" ht="18.600000000000001" customHeight="1">
      <c r="A14" s="112">
        <v>5007</v>
      </c>
      <c r="B14" s="24" t="s">
        <v>20</v>
      </c>
      <c r="C14" s="73" t="s">
        <v>21</v>
      </c>
      <c r="D14" s="26">
        <v>40</v>
      </c>
      <c r="E14" s="27">
        <v>15</v>
      </c>
      <c r="F14" s="74">
        <f t="shared" si="0"/>
        <v>600</v>
      </c>
      <c r="G14" s="28">
        <v>1.7</v>
      </c>
      <c r="H14" s="113">
        <f t="shared" si="1"/>
        <v>1020</v>
      </c>
    </row>
    <row r="15" spans="1:11" ht="18.600000000000001" customHeight="1">
      <c r="A15" s="112">
        <v>5015</v>
      </c>
      <c r="B15" s="33" t="s">
        <v>36</v>
      </c>
      <c r="C15" s="75" t="s">
        <v>37</v>
      </c>
      <c r="D15" s="26">
        <v>80</v>
      </c>
      <c r="E15" s="27">
        <v>3</v>
      </c>
      <c r="F15" s="74">
        <f t="shared" si="0"/>
        <v>240</v>
      </c>
      <c r="G15" s="28">
        <v>1.7</v>
      </c>
      <c r="H15" s="113">
        <f t="shared" si="1"/>
        <v>408</v>
      </c>
    </row>
    <row r="16" spans="1:11" ht="18.600000000000001" customHeight="1">
      <c r="A16" s="112">
        <v>5020</v>
      </c>
      <c r="B16" s="24" t="s">
        <v>42</v>
      </c>
      <c r="C16" s="73" t="s">
        <v>43</v>
      </c>
      <c r="D16" s="26">
        <v>40</v>
      </c>
      <c r="E16" s="27">
        <v>3</v>
      </c>
      <c r="F16" s="74">
        <f t="shared" si="0"/>
        <v>120</v>
      </c>
      <c r="G16" s="28">
        <v>3.1</v>
      </c>
      <c r="H16" s="113">
        <f t="shared" si="1"/>
        <v>372</v>
      </c>
    </row>
    <row r="17" spans="1:8" ht="18.600000000000001" customHeight="1">
      <c r="A17" s="112">
        <v>5025</v>
      </c>
      <c r="B17" s="33" t="s">
        <v>46</v>
      </c>
      <c r="C17" s="76" t="s">
        <v>47</v>
      </c>
      <c r="D17" s="26">
        <v>80</v>
      </c>
      <c r="E17" s="27">
        <v>1</v>
      </c>
      <c r="F17" s="74">
        <f t="shared" si="0"/>
        <v>80</v>
      </c>
      <c r="G17" s="28">
        <v>1.4</v>
      </c>
      <c r="H17" s="113">
        <f t="shared" si="1"/>
        <v>112</v>
      </c>
    </row>
    <row r="18" spans="1:8" ht="18.600000000000001" customHeight="1">
      <c r="A18" s="112">
        <v>5026</v>
      </c>
      <c r="B18" s="24" t="s">
        <v>48</v>
      </c>
      <c r="C18" s="73" t="s">
        <v>49</v>
      </c>
      <c r="D18" s="26">
        <v>40</v>
      </c>
      <c r="E18" s="27">
        <v>14</v>
      </c>
      <c r="F18" s="74">
        <f t="shared" si="0"/>
        <v>560</v>
      </c>
      <c r="G18" s="28">
        <v>1.7</v>
      </c>
      <c r="H18" s="113">
        <f t="shared" si="1"/>
        <v>952</v>
      </c>
    </row>
    <row r="19" spans="1:8" ht="18.600000000000001" customHeight="1">
      <c r="A19" s="112">
        <v>5027</v>
      </c>
      <c r="B19" s="24" t="s">
        <v>50</v>
      </c>
      <c r="C19" s="73" t="s">
        <v>51</v>
      </c>
      <c r="D19" s="26">
        <v>40</v>
      </c>
      <c r="E19" s="27">
        <v>5</v>
      </c>
      <c r="F19" s="74">
        <f t="shared" si="0"/>
        <v>200</v>
      </c>
      <c r="G19" s="28">
        <v>2.1</v>
      </c>
      <c r="H19" s="113">
        <f t="shared" si="1"/>
        <v>420</v>
      </c>
    </row>
    <row r="20" spans="1:8" ht="18.600000000000001" customHeight="1">
      <c r="A20" s="114">
        <v>5039</v>
      </c>
      <c r="B20" s="31" t="s">
        <v>54</v>
      </c>
      <c r="C20" s="73" t="s">
        <v>55</v>
      </c>
      <c r="D20" s="26">
        <v>45</v>
      </c>
      <c r="E20" s="27">
        <v>10</v>
      </c>
      <c r="F20" s="74">
        <f t="shared" si="0"/>
        <v>450</v>
      </c>
      <c r="G20" s="32">
        <v>1.7</v>
      </c>
      <c r="H20" s="113">
        <f t="shared" si="1"/>
        <v>765</v>
      </c>
    </row>
    <row r="21" spans="1:8" ht="18.600000000000001" customHeight="1">
      <c r="A21" s="112">
        <v>5041</v>
      </c>
      <c r="B21" s="24" t="s">
        <v>58</v>
      </c>
      <c r="C21" s="73" t="s">
        <v>59</v>
      </c>
      <c r="D21" s="26">
        <v>40</v>
      </c>
      <c r="E21" s="27">
        <v>6</v>
      </c>
      <c r="F21" s="74">
        <f t="shared" si="0"/>
        <v>240</v>
      </c>
      <c r="G21" s="28">
        <v>1.7</v>
      </c>
      <c r="H21" s="113">
        <f t="shared" si="1"/>
        <v>408</v>
      </c>
    </row>
    <row r="22" spans="1:8" ht="18.600000000000001" customHeight="1">
      <c r="A22" s="114">
        <v>5052</v>
      </c>
      <c r="B22" s="31" t="s">
        <v>64</v>
      </c>
      <c r="C22" s="75" t="s">
        <v>65</v>
      </c>
      <c r="D22" s="26">
        <v>45</v>
      </c>
      <c r="E22" s="27">
        <v>5</v>
      </c>
      <c r="F22" s="74">
        <f t="shared" si="0"/>
        <v>225</v>
      </c>
      <c r="G22" s="32">
        <v>1.7</v>
      </c>
      <c r="H22" s="113">
        <f t="shared" si="1"/>
        <v>382.5</v>
      </c>
    </row>
    <row r="23" spans="1:8" ht="18.600000000000001" customHeight="1">
      <c r="A23" s="112">
        <v>5057</v>
      </c>
      <c r="B23" s="24" t="s">
        <v>66</v>
      </c>
      <c r="C23" s="73" t="s">
        <v>67</v>
      </c>
      <c r="D23" s="26">
        <v>40</v>
      </c>
      <c r="E23" s="27">
        <v>2</v>
      </c>
      <c r="F23" s="74">
        <f t="shared" si="0"/>
        <v>80</v>
      </c>
      <c r="G23" s="28">
        <v>2.1</v>
      </c>
      <c r="H23" s="113">
        <f t="shared" si="1"/>
        <v>168</v>
      </c>
    </row>
    <row r="24" spans="1:8" ht="18.600000000000001" customHeight="1">
      <c r="A24" s="112">
        <v>5058</v>
      </c>
      <c r="B24" s="24" t="s">
        <v>68</v>
      </c>
      <c r="C24" s="73" t="s">
        <v>69</v>
      </c>
      <c r="D24" s="26">
        <v>55</v>
      </c>
      <c r="E24" s="27">
        <v>2</v>
      </c>
      <c r="F24" s="74">
        <f t="shared" si="0"/>
        <v>110</v>
      </c>
      <c r="G24" s="28">
        <v>3.1</v>
      </c>
      <c r="H24" s="113">
        <f t="shared" si="1"/>
        <v>341</v>
      </c>
    </row>
    <row r="25" spans="1:8" ht="18.600000000000001" customHeight="1">
      <c r="A25" s="112">
        <v>5060</v>
      </c>
      <c r="B25" s="24" t="s">
        <v>70</v>
      </c>
      <c r="C25" s="73" t="s">
        <v>71</v>
      </c>
      <c r="D25" s="26">
        <v>40</v>
      </c>
      <c r="E25" s="27">
        <v>15</v>
      </c>
      <c r="F25" s="74">
        <f t="shared" si="0"/>
        <v>600</v>
      </c>
      <c r="G25" s="28">
        <v>3.1</v>
      </c>
      <c r="H25" s="113">
        <f t="shared" si="1"/>
        <v>1860</v>
      </c>
    </row>
    <row r="26" spans="1:8" ht="18.600000000000001" customHeight="1">
      <c r="A26" s="112">
        <v>5061</v>
      </c>
      <c r="B26" s="33" t="s">
        <v>72</v>
      </c>
      <c r="C26" s="75" t="s">
        <v>73</v>
      </c>
      <c r="D26" s="26">
        <v>80</v>
      </c>
      <c r="E26" s="27">
        <v>5</v>
      </c>
      <c r="F26" s="74">
        <f t="shared" si="0"/>
        <v>400</v>
      </c>
      <c r="G26" s="28">
        <v>1.4</v>
      </c>
      <c r="H26" s="113">
        <f t="shared" si="1"/>
        <v>560</v>
      </c>
    </row>
    <row r="27" spans="1:8" ht="18.600000000000001" customHeight="1">
      <c r="A27" s="114">
        <v>5062</v>
      </c>
      <c r="B27" s="31" t="s">
        <v>74</v>
      </c>
      <c r="C27" s="73" t="s">
        <v>75</v>
      </c>
      <c r="D27" s="26">
        <v>45</v>
      </c>
      <c r="E27" s="27">
        <v>15</v>
      </c>
      <c r="F27" s="74">
        <f t="shared" si="0"/>
        <v>675</v>
      </c>
      <c r="G27" s="32">
        <v>1.7</v>
      </c>
      <c r="H27" s="113">
        <f t="shared" si="1"/>
        <v>1147.5</v>
      </c>
    </row>
    <row r="28" spans="1:8" ht="18.600000000000001" customHeight="1">
      <c r="A28" s="112">
        <v>5070</v>
      </c>
      <c r="B28" s="24" t="s">
        <v>76</v>
      </c>
      <c r="C28" s="73" t="s">
        <v>77</v>
      </c>
      <c r="D28" s="26">
        <v>40</v>
      </c>
      <c r="E28" s="27">
        <v>70</v>
      </c>
      <c r="F28" s="74">
        <f t="shared" si="0"/>
        <v>2800</v>
      </c>
      <c r="G28" s="28">
        <v>1.7</v>
      </c>
      <c r="H28" s="113">
        <f t="shared" si="1"/>
        <v>4760</v>
      </c>
    </row>
    <row r="29" spans="1:8" ht="18.600000000000001" customHeight="1">
      <c r="A29" s="112">
        <v>5075</v>
      </c>
      <c r="B29" s="24" t="s">
        <v>82</v>
      </c>
      <c r="C29" s="73" t="s">
        <v>83</v>
      </c>
      <c r="D29" s="26">
        <v>40</v>
      </c>
      <c r="E29" s="27">
        <v>23</v>
      </c>
      <c r="F29" s="74">
        <f t="shared" si="0"/>
        <v>920</v>
      </c>
      <c r="G29" s="28">
        <v>1.7</v>
      </c>
      <c r="H29" s="113">
        <f t="shared" si="1"/>
        <v>1564</v>
      </c>
    </row>
    <row r="30" spans="1:8" ht="18.600000000000001" customHeight="1">
      <c r="A30" s="112">
        <v>5078</v>
      </c>
      <c r="B30" s="24" t="s">
        <v>86</v>
      </c>
      <c r="C30" s="73" t="s">
        <v>87</v>
      </c>
      <c r="D30" s="26">
        <v>55</v>
      </c>
      <c r="E30" s="27">
        <v>10</v>
      </c>
      <c r="F30" s="74">
        <f t="shared" si="0"/>
        <v>550</v>
      </c>
      <c r="G30" s="28">
        <v>1</v>
      </c>
      <c r="H30" s="113">
        <f t="shared" si="1"/>
        <v>550</v>
      </c>
    </row>
    <row r="31" spans="1:8" ht="18.600000000000001" customHeight="1">
      <c r="A31" s="112">
        <v>5090</v>
      </c>
      <c r="B31" s="24" t="s">
        <v>94</v>
      </c>
      <c r="C31" s="73" t="s">
        <v>95</v>
      </c>
      <c r="D31" s="26">
        <v>25</v>
      </c>
      <c r="E31" s="27">
        <v>12</v>
      </c>
      <c r="F31" s="74">
        <f t="shared" si="0"/>
        <v>300</v>
      </c>
      <c r="G31" s="28">
        <v>1.7</v>
      </c>
      <c r="H31" s="113">
        <f t="shared" si="1"/>
        <v>510</v>
      </c>
    </row>
    <row r="32" spans="1:8" ht="18.600000000000001" customHeight="1">
      <c r="A32" s="112">
        <v>5092</v>
      </c>
      <c r="B32" s="24" t="s">
        <v>96</v>
      </c>
      <c r="C32" s="77" t="s">
        <v>97</v>
      </c>
      <c r="D32" s="26">
        <v>100</v>
      </c>
      <c r="E32" s="27">
        <v>1</v>
      </c>
      <c r="F32" s="74">
        <f t="shared" si="0"/>
        <v>100</v>
      </c>
      <c r="G32" s="28">
        <v>0.9</v>
      </c>
      <c r="H32" s="113">
        <f t="shared" si="1"/>
        <v>90</v>
      </c>
    </row>
    <row r="33" spans="1:8" ht="18.600000000000001" customHeight="1">
      <c r="A33" s="112">
        <v>5093</v>
      </c>
      <c r="B33" s="24" t="s">
        <v>98</v>
      </c>
      <c r="C33" s="73" t="s">
        <v>99</v>
      </c>
      <c r="D33" s="26">
        <v>25</v>
      </c>
      <c r="E33" s="27">
        <v>12</v>
      </c>
      <c r="F33" s="74">
        <f t="shared" si="0"/>
        <v>300</v>
      </c>
      <c r="G33" s="28">
        <v>1</v>
      </c>
      <c r="H33" s="113">
        <f t="shared" si="1"/>
        <v>300</v>
      </c>
    </row>
    <row r="34" spans="1:8" ht="18.600000000000001" customHeight="1">
      <c r="A34" s="112">
        <v>5095</v>
      </c>
      <c r="B34" s="24" t="s">
        <v>102</v>
      </c>
      <c r="C34" s="73" t="s">
        <v>103</v>
      </c>
      <c r="D34" s="26">
        <v>40</v>
      </c>
      <c r="E34" s="27">
        <v>5</v>
      </c>
      <c r="F34" s="74">
        <f t="shared" si="0"/>
        <v>200</v>
      </c>
      <c r="G34" s="28">
        <v>1.7</v>
      </c>
      <c r="H34" s="113">
        <f t="shared" si="1"/>
        <v>340</v>
      </c>
    </row>
    <row r="35" spans="1:8" ht="18.600000000000001" customHeight="1">
      <c r="A35" s="112">
        <v>5096</v>
      </c>
      <c r="B35" s="24" t="s">
        <v>104</v>
      </c>
      <c r="C35" s="78" t="s">
        <v>105</v>
      </c>
      <c r="D35" s="26">
        <v>40</v>
      </c>
      <c r="E35" s="27">
        <v>14</v>
      </c>
      <c r="F35" s="74">
        <f t="shared" si="0"/>
        <v>560</v>
      </c>
      <c r="G35" s="28">
        <v>3.1</v>
      </c>
      <c r="H35" s="113">
        <f t="shared" si="1"/>
        <v>1736</v>
      </c>
    </row>
    <row r="36" spans="1:8" ht="18.600000000000001" customHeight="1">
      <c r="A36" s="115">
        <v>5100</v>
      </c>
      <c r="B36" s="42" t="s">
        <v>110</v>
      </c>
      <c r="C36" s="73" t="s">
        <v>111</v>
      </c>
      <c r="D36" s="42">
        <v>40</v>
      </c>
      <c r="E36" s="42">
        <v>1</v>
      </c>
      <c r="F36" s="74">
        <f t="shared" si="0"/>
        <v>40</v>
      </c>
      <c r="G36" s="43">
        <v>3.6</v>
      </c>
      <c r="H36" s="113">
        <f t="shared" si="1"/>
        <v>144</v>
      </c>
    </row>
    <row r="37" spans="1:8" ht="18.600000000000001" customHeight="1">
      <c r="A37" s="112">
        <v>5102</v>
      </c>
      <c r="B37" s="24" t="s">
        <v>112</v>
      </c>
      <c r="C37" s="78" t="s">
        <v>113</v>
      </c>
      <c r="D37" s="26">
        <v>40</v>
      </c>
      <c r="E37" s="27">
        <v>5</v>
      </c>
      <c r="F37" s="74">
        <f t="shared" si="0"/>
        <v>200</v>
      </c>
      <c r="G37" s="28">
        <v>3.6</v>
      </c>
      <c r="H37" s="113">
        <f t="shared" si="1"/>
        <v>720</v>
      </c>
    </row>
    <row r="38" spans="1:8" ht="18.600000000000001" customHeight="1">
      <c r="A38" s="116">
        <v>5104</v>
      </c>
      <c r="B38" s="45" t="s">
        <v>114</v>
      </c>
      <c r="C38" s="73" t="s">
        <v>115</v>
      </c>
      <c r="D38" s="37">
        <v>40</v>
      </c>
      <c r="E38" s="38">
        <v>1</v>
      </c>
      <c r="F38" s="74">
        <f t="shared" si="0"/>
        <v>40</v>
      </c>
      <c r="G38" s="39">
        <v>1.7</v>
      </c>
      <c r="H38" s="113">
        <f t="shared" si="1"/>
        <v>68</v>
      </c>
    </row>
    <row r="39" spans="1:8" ht="18.600000000000001" customHeight="1">
      <c r="A39" s="112">
        <v>5106</v>
      </c>
      <c r="B39" s="33" t="s">
        <v>118</v>
      </c>
      <c r="C39" s="75" t="s">
        <v>119</v>
      </c>
      <c r="D39" s="26">
        <v>80</v>
      </c>
      <c r="E39" s="27">
        <v>5</v>
      </c>
      <c r="F39" s="74">
        <f t="shared" si="0"/>
        <v>400</v>
      </c>
      <c r="G39" s="28">
        <v>3.1</v>
      </c>
      <c r="H39" s="113">
        <f t="shared" si="1"/>
        <v>1240</v>
      </c>
    </row>
    <row r="40" spans="1:8" ht="18.600000000000001" customHeight="1">
      <c r="A40" s="112">
        <v>5108</v>
      </c>
      <c r="B40" s="24" t="s">
        <v>122</v>
      </c>
      <c r="C40" s="73" t="s">
        <v>123</v>
      </c>
      <c r="D40" s="26">
        <v>40</v>
      </c>
      <c r="E40" s="27">
        <v>3</v>
      </c>
      <c r="F40" s="74">
        <f t="shared" si="0"/>
        <v>120</v>
      </c>
      <c r="G40" s="28">
        <v>1.7</v>
      </c>
      <c r="H40" s="113">
        <f t="shared" si="1"/>
        <v>204</v>
      </c>
    </row>
    <row r="41" spans="1:8" ht="18.600000000000001" customHeight="1">
      <c r="A41" s="114">
        <v>5110</v>
      </c>
      <c r="B41" s="31" t="s">
        <v>125</v>
      </c>
      <c r="C41" s="73" t="s">
        <v>126</v>
      </c>
      <c r="D41" s="26">
        <v>45</v>
      </c>
      <c r="E41" s="27">
        <v>3</v>
      </c>
      <c r="F41" s="74">
        <f t="shared" si="0"/>
        <v>135</v>
      </c>
      <c r="G41" s="32">
        <v>1.7</v>
      </c>
      <c r="H41" s="113">
        <f t="shared" si="1"/>
        <v>229.5</v>
      </c>
    </row>
    <row r="42" spans="1:8" ht="18.600000000000001" customHeight="1" thickBot="1">
      <c r="A42" s="115">
        <v>5111</v>
      </c>
      <c r="B42" s="42" t="s">
        <v>127</v>
      </c>
      <c r="C42" s="73" t="s">
        <v>128</v>
      </c>
      <c r="D42" s="42">
        <v>40</v>
      </c>
      <c r="E42" s="42">
        <v>39</v>
      </c>
      <c r="F42" s="74">
        <f t="shared" si="0"/>
        <v>1560</v>
      </c>
      <c r="G42" s="43">
        <v>2.1</v>
      </c>
      <c r="H42" s="113">
        <f t="shared" si="1"/>
        <v>3276</v>
      </c>
    </row>
    <row r="43" spans="1:8" ht="20.399999999999999" customHeight="1" thickBot="1">
      <c r="A43" s="5"/>
      <c r="B43" s="10"/>
      <c r="C43" s="58" t="s">
        <v>140</v>
      </c>
      <c r="D43" s="10"/>
      <c r="E43" s="12">
        <f>SUM(E13:E42)</f>
        <v>310</v>
      </c>
      <c r="F43" s="13"/>
      <c r="G43" s="81" t="s">
        <v>218</v>
      </c>
      <c r="H43" s="117">
        <f>SUM(H13:H42)</f>
        <v>25067.5</v>
      </c>
    </row>
    <row r="44" spans="1:8" ht="18.600000000000001" customHeight="1">
      <c r="A44" s="112">
        <v>302</v>
      </c>
      <c r="B44" s="24" t="s">
        <v>142</v>
      </c>
      <c r="C44" s="77" t="s">
        <v>143</v>
      </c>
      <c r="D44" s="26">
        <v>80</v>
      </c>
      <c r="E44" s="27">
        <v>6</v>
      </c>
      <c r="F44" s="74">
        <f t="shared" ref="F44:F53" si="2">D44*E44</f>
        <v>480</v>
      </c>
      <c r="G44" s="28">
        <v>0.64999999999999991</v>
      </c>
      <c r="H44" s="113">
        <f t="shared" ref="H44:H53" si="3">F44*G44</f>
        <v>311.99999999999994</v>
      </c>
    </row>
    <row r="45" spans="1:8" ht="18.600000000000001" customHeight="1">
      <c r="A45" s="112">
        <v>310</v>
      </c>
      <c r="B45" s="24" t="s">
        <v>146</v>
      </c>
      <c r="C45" s="73" t="s">
        <v>147</v>
      </c>
      <c r="D45" s="26">
        <v>45</v>
      </c>
      <c r="E45" s="27">
        <v>40</v>
      </c>
      <c r="F45" s="74">
        <f t="shared" si="2"/>
        <v>1800</v>
      </c>
      <c r="G45" s="28">
        <v>0.85</v>
      </c>
      <c r="H45" s="113">
        <f t="shared" si="3"/>
        <v>1530</v>
      </c>
    </row>
    <row r="46" spans="1:8" ht="18.600000000000001" customHeight="1">
      <c r="A46" s="115">
        <v>313</v>
      </c>
      <c r="B46" s="42" t="s">
        <v>32</v>
      </c>
      <c r="C46" s="73" t="s">
        <v>35</v>
      </c>
      <c r="D46" s="42">
        <v>40</v>
      </c>
      <c r="E46" s="42">
        <v>5</v>
      </c>
      <c r="F46" s="74">
        <f t="shared" si="2"/>
        <v>200</v>
      </c>
      <c r="G46" s="43">
        <v>0.74999999999999989</v>
      </c>
      <c r="H46" s="113">
        <f t="shared" si="3"/>
        <v>149.99999999999997</v>
      </c>
    </row>
    <row r="47" spans="1:8" ht="18.600000000000001" customHeight="1">
      <c r="A47" s="115">
        <v>320</v>
      </c>
      <c r="B47" s="42" t="s">
        <v>148</v>
      </c>
      <c r="C47" s="73" t="s">
        <v>149</v>
      </c>
      <c r="D47" s="42">
        <v>40</v>
      </c>
      <c r="E47" s="42">
        <v>5</v>
      </c>
      <c r="F47" s="74">
        <f t="shared" si="2"/>
        <v>200</v>
      </c>
      <c r="G47" s="43">
        <v>0.74999999999999989</v>
      </c>
      <c r="H47" s="113">
        <f t="shared" si="3"/>
        <v>149.99999999999997</v>
      </c>
    </row>
    <row r="48" spans="1:8" ht="18.600000000000001" customHeight="1">
      <c r="A48" s="115">
        <v>328</v>
      </c>
      <c r="B48" s="42" t="s">
        <v>152</v>
      </c>
      <c r="C48" s="73" t="s">
        <v>153</v>
      </c>
      <c r="D48" s="42">
        <v>40</v>
      </c>
      <c r="E48" s="42">
        <v>48</v>
      </c>
      <c r="F48" s="74">
        <f t="shared" si="2"/>
        <v>1920</v>
      </c>
      <c r="G48" s="43">
        <v>1.25</v>
      </c>
      <c r="H48" s="113">
        <f t="shared" si="3"/>
        <v>2400</v>
      </c>
    </row>
    <row r="49" spans="1:11" ht="18.600000000000001" customHeight="1">
      <c r="A49" s="112">
        <v>337</v>
      </c>
      <c r="B49" s="24" t="s">
        <v>154</v>
      </c>
      <c r="C49" s="78" t="s">
        <v>155</v>
      </c>
      <c r="D49" s="26">
        <v>55</v>
      </c>
      <c r="E49" s="27">
        <v>58</v>
      </c>
      <c r="F49" s="74">
        <f t="shared" si="2"/>
        <v>3190</v>
      </c>
      <c r="G49" s="28">
        <v>0.7</v>
      </c>
      <c r="H49" s="113">
        <f t="shared" si="3"/>
        <v>2233</v>
      </c>
    </row>
    <row r="50" spans="1:11" ht="18.600000000000001" customHeight="1">
      <c r="A50" s="115">
        <v>357</v>
      </c>
      <c r="B50" s="42" t="s">
        <v>163</v>
      </c>
      <c r="C50" s="73" t="s">
        <v>164</v>
      </c>
      <c r="D50" s="42">
        <v>45</v>
      </c>
      <c r="E50" s="42">
        <v>2</v>
      </c>
      <c r="F50" s="74">
        <f t="shared" si="2"/>
        <v>90</v>
      </c>
      <c r="G50" s="43">
        <v>0.74999999999999989</v>
      </c>
      <c r="H50" s="113">
        <f t="shared" si="3"/>
        <v>67.499999999999986</v>
      </c>
    </row>
    <row r="51" spans="1:11" ht="18.600000000000001" customHeight="1">
      <c r="A51" s="112">
        <v>358</v>
      </c>
      <c r="B51" s="24" t="s">
        <v>165</v>
      </c>
      <c r="C51" s="78" t="s">
        <v>105</v>
      </c>
      <c r="D51" s="26">
        <v>45</v>
      </c>
      <c r="E51" s="27">
        <v>10</v>
      </c>
      <c r="F51" s="74">
        <f t="shared" si="2"/>
        <v>450</v>
      </c>
      <c r="G51" s="28">
        <v>0.85</v>
      </c>
      <c r="H51" s="113">
        <f t="shared" si="3"/>
        <v>382.5</v>
      </c>
    </row>
    <row r="52" spans="1:11" ht="18.600000000000001" customHeight="1">
      <c r="A52" s="115">
        <v>360</v>
      </c>
      <c r="B52" s="42" t="s">
        <v>168</v>
      </c>
      <c r="C52" s="73" t="s">
        <v>71</v>
      </c>
      <c r="D52" s="42">
        <v>45</v>
      </c>
      <c r="E52" s="27">
        <v>15</v>
      </c>
      <c r="F52" s="74">
        <f t="shared" si="2"/>
        <v>675</v>
      </c>
      <c r="G52" s="43">
        <v>0.74999999999999989</v>
      </c>
      <c r="H52" s="113">
        <f t="shared" si="3"/>
        <v>506.24999999999994</v>
      </c>
    </row>
    <row r="53" spans="1:11" ht="18.600000000000001" customHeight="1">
      <c r="A53" s="115">
        <v>361</v>
      </c>
      <c r="B53" s="42" t="s">
        <v>169</v>
      </c>
      <c r="C53" s="73" t="s">
        <v>170</v>
      </c>
      <c r="D53" s="42">
        <v>45</v>
      </c>
      <c r="E53" s="42">
        <v>15</v>
      </c>
      <c r="F53" s="74">
        <f t="shared" si="2"/>
        <v>675</v>
      </c>
      <c r="G53" s="43">
        <v>0.74999999999999989</v>
      </c>
      <c r="H53" s="113">
        <f t="shared" si="3"/>
        <v>506.24999999999994</v>
      </c>
    </row>
    <row r="54" spans="1:11" ht="22.8">
      <c r="A54" s="118"/>
      <c r="B54" s="79"/>
      <c r="C54" s="153" t="s">
        <v>190</v>
      </c>
      <c r="D54" s="153"/>
      <c r="E54" s="80">
        <f>SUM(E44:E53)</f>
        <v>204</v>
      </c>
      <c r="F54" s="80"/>
      <c r="G54" s="81" t="s">
        <v>218</v>
      </c>
      <c r="H54" s="119">
        <f>SUM(H44:H53)</f>
        <v>8237.5</v>
      </c>
    </row>
    <row r="55" spans="1:11" ht="26.4" customHeight="1">
      <c r="A55" s="114">
        <v>405</v>
      </c>
      <c r="B55" s="31" t="s">
        <v>191</v>
      </c>
      <c r="C55" s="73" t="s">
        <v>192</v>
      </c>
      <c r="D55" s="26">
        <v>25</v>
      </c>
      <c r="E55" s="27">
        <v>5</v>
      </c>
      <c r="F55" s="69">
        <f>D55*E55</f>
        <v>125</v>
      </c>
      <c r="G55" s="32">
        <v>2.6</v>
      </c>
      <c r="H55" s="120">
        <f>F55*G55</f>
        <v>325</v>
      </c>
    </row>
    <row r="56" spans="1:11" ht="18.600000000000001" customHeight="1">
      <c r="A56" s="114">
        <v>435</v>
      </c>
      <c r="B56" s="31" t="s">
        <v>193</v>
      </c>
      <c r="C56" s="73" t="s">
        <v>194</v>
      </c>
      <c r="D56" s="26">
        <v>10</v>
      </c>
      <c r="E56" s="27">
        <v>13</v>
      </c>
      <c r="F56" s="69">
        <f t="shared" ref="F56:F58" si="4">D56*E56</f>
        <v>130</v>
      </c>
      <c r="G56" s="32">
        <v>2.6</v>
      </c>
      <c r="H56" s="120">
        <f t="shared" ref="H56:H58" si="5">F56*G56</f>
        <v>338</v>
      </c>
    </row>
    <row r="57" spans="1:11" ht="18.600000000000001" customHeight="1">
      <c r="A57" s="112">
        <v>865</v>
      </c>
      <c r="B57" s="24" t="s">
        <v>197</v>
      </c>
      <c r="C57" s="78" t="s">
        <v>198</v>
      </c>
      <c r="D57" s="26">
        <v>20</v>
      </c>
      <c r="E57" s="27">
        <v>60</v>
      </c>
      <c r="F57" s="69">
        <f t="shared" si="4"/>
        <v>1200</v>
      </c>
      <c r="G57" s="28">
        <v>0.70000000000000007</v>
      </c>
      <c r="H57" s="120">
        <f t="shared" si="5"/>
        <v>840.00000000000011</v>
      </c>
    </row>
    <row r="58" spans="1:11" ht="18.600000000000001" customHeight="1">
      <c r="A58" s="121">
        <v>870</v>
      </c>
      <c r="B58" s="60" t="s">
        <v>199</v>
      </c>
      <c r="C58" s="82" t="s">
        <v>200</v>
      </c>
      <c r="D58" s="55">
        <v>200</v>
      </c>
      <c r="E58" s="56">
        <v>1</v>
      </c>
      <c r="F58" s="83">
        <f t="shared" si="4"/>
        <v>200</v>
      </c>
      <c r="G58" s="57">
        <v>2.4</v>
      </c>
      <c r="H58" s="120">
        <f t="shared" si="5"/>
        <v>480</v>
      </c>
    </row>
    <row r="59" spans="1:11" ht="18.600000000000001" customHeight="1">
      <c r="A59" s="122"/>
      <c r="B59" s="84"/>
      <c r="C59" s="84"/>
      <c r="D59" s="84"/>
      <c r="E59" s="84">
        <f>SUM(E55:E58)</f>
        <v>79</v>
      </c>
      <c r="F59" s="84"/>
      <c r="G59" s="81" t="s">
        <v>218</v>
      </c>
      <c r="H59" s="123">
        <f>SUM(H55:H58)</f>
        <v>1983</v>
      </c>
    </row>
    <row r="60" spans="1:11" ht="22.2" customHeight="1">
      <c r="A60" s="122"/>
      <c r="B60" s="84"/>
      <c r="C60" s="104" t="s">
        <v>225</v>
      </c>
      <c r="D60" s="84"/>
      <c r="E60" s="134">
        <f>E43+E54+E59</f>
        <v>593</v>
      </c>
      <c r="F60" s="84"/>
      <c r="G60" s="84"/>
      <c r="H60" s="133">
        <f>H43+H54+H59</f>
        <v>35288</v>
      </c>
    </row>
    <row r="61" spans="1:11">
      <c r="A61" s="105"/>
      <c r="B61" s="88" t="s">
        <v>219</v>
      </c>
      <c r="C61" s="88"/>
      <c r="D61" s="88"/>
      <c r="E61" s="88"/>
      <c r="F61" s="88"/>
      <c r="G61" s="88"/>
      <c r="H61" s="94"/>
      <c r="I61" s="88"/>
      <c r="J61" s="88"/>
      <c r="K61" s="88"/>
    </row>
  </sheetData>
  <mergeCells count="2">
    <mergeCell ref="C54:D54"/>
    <mergeCell ref="B1:F1"/>
  </mergeCells>
  <conditionalFormatting sqref="A12:A42">
    <cfRule type="duplicateValues" dxfId="35" priority="4"/>
  </conditionalFormatting>
  <conditionalFormatting sqref="A43:A53">
    <cfRule type="duplicateValues" dxfId="34" priority="3"/>
  </conditionalFormatting>
  <conditionalFormatting sqref="A54:A56">
    <cfRule type="duplicateValues" dxfId="33" priority="2"/>
  </conditionalFormatting>
  <conditionalFormatting sqref="A57:A58">
    <cfRule type="duplicateValues" dxfId="32" priority="1"/>
  </conditionalFormatting>
  <hyperlinks>
    <hyperlink ref="A5" r:id="rId1" display="http://www.amiratex-france.com/"/>
  </hyperlinks>
  <pageMargins left="0.23622047244094491" right="0.23622047244094491" top="0" bottom="0" header="0" footer="0"/>
  <pageSetup paperSize="9" scale="66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5"/>
  <sheetViews>
    <sheetView workbookViewId="0">
      <selection activeCell="B1" sqref="B1:B105"/>
    </sheetView>
  </sheetViews>
  <sheetFormatPr baseColWidth="10" defaultRowHeight="13.8"/>
  <cols>
    <col min="1" max="1" width="38.8984375" customWidth="1"/>
    <col min="2" max="2" width="31.796875" customWidth="1"/>
  </cols>
  <sheetData>
    <row r="1" spans="1:2" ht="23.4" thickBot="1">
      <c r="A1" s="151" t="s">
        <v>9</v>
      </c>
      <c r="B1" s="138" t="s">
        <v>334</v>
      </c>
    </row>
    <row r="2" spans="1:2">
      <c r="A2" t="s">
        <v>11</v>
      </c>
      <c r="B2" t="s">
        <v>248</v>
      </c>
    </row>
    <row r="3" spans="1:2">
      <c r="A3" t="s">
        <v>13</v>
      </c>
      <c r="B3" t="s">
        <v>249</v>
      </c>
    </row>
    <row r="4" spans="1:2">
      <c r="A4" t="s">
        <v>15</v>
      </c>
      <c r="B4" t="s">
        <v>250</v>
      </c>
    </row>
    <row r="5" spans="1:2">
      <c r="A5" t="s">
        <v>17</v>
      </c>
      <c r="B5" t="s">
        <v>251</v>
      </c>
    </row>
    <row r="6" spans="1:2">
      <c r="A6" t="s">
        <v>19</v>
      </c>
      <c r="B6" t="s">
        <v>252</v>
      </c>
    </row>
    <row r="7" spans="1:2">
      <c r="A7" t="s">
        <v>21</v>
      </c>
      <c r="B7" t="s">
        <v>253</v>
      </c>
    </row>
    <row r="8" spans="1:2">
      <c r="A8" t="s">
        <v>23</v>
      </c>
      <c r="B8" t="s">
        <v>254</v>
      </c>
    </row>
    <row r="9" spans="1:2">
      <c r="A9" t="s">
        <v>25</v>
      </c>
      <c r="B9" t="s">
        <v>255</v>
      </c>
    </row>
    <row r="10" spans="1:2">
      <c r="A10" t="s">
        <v>27</v>
      </c>
      <c r="B10" t="s">
        <v>256</v>
      </c>
    </row>
    <row r="11" spans="1:2">
      <c r="A11" t="s">
        <v>29</v>
      </c>
      <c r="B11" t="s">
        <v>257</v>
      </c>
    </row>
    <row r="12" spans="1:2">
      <c r="A12" t="s">
        <v>31</v>
      </c>
      <c r="B12" t="s">
        <v>31</v>
      </c>
    </row>
    <row r="13" spans="1:2">
      <c r="A13" t="s">
        <v>33</v>
      </c>
      <c r="B13" t="s">
        <v>258</v>
      </c>
    </row>
    <row r="14" spans="1:2">
      <c r="A14" t="s">
        <v>35</v>
      </c>
      <c r="B14" t="s">
        <v>259</v>
      </c>
    </row>
    <row r="15" spans="1:2">
      <c r="A15" t="s">
        <v>37</v>
      </c>
      <c r="B15" t="s">
        <v>260</v>
      </c>
    </row>
    <row r="16" spans="1:2">
      <c r="A16" t="s">
        <v>39</v>
      </c>
      <c r="B16" t="s">
        <v>261</v>
      </c>
    </row>
    <row r="17" spans="1:2">
      <c r="A17" t="s">
        <v>41</v>
      </c>
      <c r="B17" t="s">
        <v>262</v>
      </c>
    </row>
    <row r="18" spans="1:2">
      <c r="A18" t="s">
        <v>43</v>
      </c>
      <c r="B18" t="s">
        <v>263</v>
      </c>
    </row>
    <row r="19" spans="1:2">
      <c r="A19" t="s">
        <v>45</v>
      </c>
      <c r="B19" t="s">
        <v>264</v>
      </c>
    </row>
    <row r="20" spans="1:2">
      <c r="A20" t="s">
        <v>47</v>
      </c>
      <c r="B20" t="s">
        <v>265</v>
      </c>
    </row>
    <row r="21" spans="1:2">
      <c r="A21" t="s">
        <v>49</v>
      </c>
      <c r="B21" t="s">
        <v>266</v>
      </c>
    </row>
    <row r="22" spans="1:2">
      <c r="A22" t="s">
        <v>51</v>
      </c>
      <c r="B22" t="s">
        <v>267</v>
      </c>
    </row>
    <row r="23" spans="1:2">
      <c r="A23" t="s">
        <v>53</v>
      </c>
      <c r="B23" t="s">
        <v>53</v>
      </c>
    </row>
    <row r="24" spans="1:2">
      <c r="A24" t="s">
        <v>55</v>
      </c>
      <c r="B24" t="s">
        <v>268</v>
      </c>
    </row>
    <row r="25" spans="1:2">
      <c r="A25" t="s">
        <v>57</v>
      </c>
      <c r="B25" t="s">
        <v>269</v>
      </c>
    </row>
    <row r="26" spans="1:2">
      <c r="A26" t="s">
        <v>59</v>
      </c>
      <c r="B26" t="s">
        <v>270</v>
      </c>
    </row>
    <row r="27" spans="1:2">
      <c r="A27" t="s">
        <v>61</v>
      </c>
      <c r="B27" t="s">
        <v>61</v>
      </c>
    </row>
    <row r="28" spans="1:2">
      <c r="A28" t="s">
        <v>63</v>
      </c>
      <c r="B28" t="s">
        <v>271</v>
      </c>
    </row>
    <row r="29" spans="1:2">
      <c r="A29" t="s">
        <v>65</v>
      </c>
      <c r="B29" t="s">
        <v>272</v>
      </c>
    </row>
    <row r="30" spans="1:2">
      <c r="A30" t="s">
        <v>67</v>
      </c>
      <c r="B30" t="s">
        <v>273</v>
      </c>
    </row>
    <row r="31" spans="1:2">
      <c r="A31" t="s">
        <v>69</v>
      </c>
      <c r="B31" t="s">
        <v>274</v>
      </c>
    </row>
    <row r="32" spans="1:2">
      <c r="A32" t="s">
        <v>71</v>
      </c>
      <c r="B32" t="s">
        <v>275</v>
      </c>
    </row>
    <row r="33" spans="1:2">
      <c r="A33" t="s">
        <v>73</v>
      </c>
      <c r="B33" t="s">
        <v>276</v>
      </c>
    </row>
    <row r="34" spans="1:2">
      <c r="A34" t="s">
        <v>75</v>
      </c>
      <c r="B34" t="s">
        <v>277</v>
      </c>
    </row>
    <row r="35" spans="1:2">
      <c r="A35" t="s">
        <v>77</v>
      </c>
      <c r="B35" t="s">
        <v>278</v>
      </c>
    </row>
    <row r="36" spans="1:2">
      <c r="A36" t="s">
        <v>79</v>
      </c>
      <c r="B36" t="s">
        <v>79</v>
      </c>
    </row>
    <row r="37" spans="1:2">
      <c r="A37" t="s">
        <v>81</v>
      </c>
      <c r="B37" t="s">
        <v>279</v>
      </c>
    </row>
    <row r="38" spans="1:2">
      <c r="A38" t="s">
        <v>83</v>
      </c>
      <c r="B38" t="s">
        <v>280</v>
      </c>
    </row>
    <row r="39" spans="1:2">
      <c r="A39" t="s">
        <v>85</v>
      </c>
      <c r="B39" t="s">
        <v>85</v>
      </c>
    </row>
    <row r="40" spans="1:2">
      <c r="A40" t="s">
        <v>87</v>
      </c>
      <c r="B40" t="s">
        <v>87</v>
      </c>
    </row>
    <row r="41" spans="1:2">
      <c r="A41" t="s">
        <v>89</v>
      </c>
      <c r="B41" t="s">
        <v>281</v>
      </c>
    </row>
    <row r="42" spans="1:2">
      <c r="A42" t="s">
        <v>91</v>
      </c>
      <c r="B42" t="s">
        <v>282</v>
      </c>
    </row>
    <row r="43" spans="1:2">
      <c r="A43" t="s">
        <v>93</v>
      </c>
      <c r="B43" t="s">
        <v>283</v>
      </c>
    </row>
    <row r="44" spans="1:2">
      <c r="A44" t="s">
        <v>95</v>
      </c>
      <c r="B44" t="s">
        <v>284</v>
      </c>
    </row>
    <row r="45" spans="1:2">
      <c r="A45" t="s">
        <v>97</v>
      </c>
      <c r="B45" t="s">
        <v>285</v>
      </c>
    </row>
    <row r="46" spans="1:2">
      <c r="A46" t="s">
        <v>99</v>
      </c>
      <c r="B46" t="s">
        <v>286</v>
      </c>
    </row>
    <row r="47" spans="1:2">
      <c r="A47" t="s">
        <v>101</v>
      </c>
      <c r="B47" t="s">
        <v>287</v>
      </c>
    </row>
    <row r="48" spans="1:2">
      <c r="A48" t="s">
        <v>103</v>
      </c>
      <c r="B48" t="s">
        <v>288</v>
      </c>
    </row>
    <row r="49" spans="1:2">
      <c r="A49" t="s">
        <v>105</v>
      </c>
      <c r="B49" t="s">
        <v>289</v>
      </c>
    </row>
    <row r="50" spans="1:2">
      <c r="A50" t="s">
        <v>107</v>
      </c>
      <c r="B50" t="s">
        <v>290</v>
      </c>
    </row>
    <row r="51" spans="1:2">
      <c r="A51" t="s">
        <v>109</v>
      </c>
      <c r="B51" t="s">
        <v>291</v>
      </c>
    </row>
    <row r="52" spans="1:2">
      <c r="A52" t="s">
        <v>111</v>
      </c>
      <c r="B52" t="s">
        <v>292</v>
      </c>
    </row>
    <row r="53" spans="1:2">
      <c r="A53" t="s">
        <v>113</v>
      </c>
      <c r="B53" t="s">
        <v>293</v>
      </c>
    </row>
    <row r="54" spans="1:2">
      <c r="A54" t="s">
        <v>115</v>
      </c>
      <c r="B54" t="s">
        <v>294</v>
      </c>
    </row>
    <row r="55" spans="1:2">
      <c r="A55" t="s">
        <v>117</v>
      </c>
      <c r="B55" t="s">
        <v>295</v>
      </c>
    </row>
    <row r="56" spans="1:2">
      <c r="A56" t="s">
        <v>119</v>
      </c>
      <c r="B56" t="s">
        <v>296</v>
      </c>
    </row>
    <row r="57" spans="1:2">
      <c r="A57" t="s">
        <v>121</v>
      </c>
      <c r="B57" t="s">
        <v>297</v>
      </c>
    </row>
    <row r="58" spans="1:2">
      <c r="A58" t="s">
        <v>123</v>
      </c>
      <c r="B58" t="s">
        <v>298</v>
      </c>
    </row>
    <row r="59" spans="1:2">
      <c r="A59" t="s">
        <v>123</v>
      </c>
      <c r="B59" t="s">
        <v>298</v>
      </c>
    </row>
    <row r="60" spans="1:2">
      <c r="A60" t="s">
        <v>126</v>
      </c>
      <c r="B60" t="s">
        <v>126</v>
      </c>
    </row>
    <row r="61" spans="1:2">
      <c r="A61" t="s">
        <v>128</v>
      </c>
      <c r="B61" t="s">
        <v>299</v>
      </c>
    </row>
    <row r="62" spans="1:2">
      <c r="A62" t="s">
        <v>130</v>
      </c>
      <c r="B62" t="s">
        <v>300</v>
      </c>
    </row>
    <row r="63" spans="1:2">
      <c r="A63" t="s">
        <v>132</v>
      </c>
      <c r="B63" t="s">
        <v>301</v>
      </c>
    </row>
    <row r="64" spans="1:2">
      <c r="A64" t="s">
        <v>134</v>
      </c>
      <c r="B64" t="s">
        <v>302</v>
      </c>
    </row>
    <row r="65" spans="1:2">
      <c r="A65" s="138" t="s">
        <v>135</v>
      </c>
      <c r="B65" s="138" t="s">
        <v>303</v>
      </c>
    </row>
    <row r="66" spans="1:2">
      <c r="A66" t="s">
        <v>137</v>
      </c>
      <c r="B66" t="s">
        <v>304</v>
      </c>
    </row>
    <row r="67" spans="1:2">
      <c r="A67" t="s">
        <v>139</v>
      </c>
      <c r="B67" t="s">
        <v>305</v>
      </c>
    </row>
    <row r="68" spans="1:2">
      <c r="A68" s="138" t="s">
        <v>140</v>
      </c>
      <c r="B68" s="138" t="s">
        <v>306</v>
      </c>
    </row>
    <row r="69" spans="1:2">
      <c r="A69" t="s">
        <v>13</v>
      </c>
      <c r="B69" t="s">
        <v>307</v>
      </c>
    </row>
    <row r="70" spans="1:2">
      <c r="A70" t="s">
        <v>143</v>
      </c>
      <c r="B70" t="s">
        <v>308</v>
      </c>
    </row>
    <row r="71" spans="1:2">
      <c r="A71" t="s">
        <v>145</v>
      </c>
      <c r="B71" t="s">
        <v>309</v>
      </c>
    </row>
    <row r="72" spans="1:2">
      <c r="A72" t="s">
        <v>147</v>
      </c>
      <c r="B72" t="s">
        <v>310</v>
      </c>
    </row>
    <row r="73" spans="1:2">
      <c r="A73" t="s">
        <v>35</v>
      </c>
      <c r="B73" t="s">
        <v>259</v>
      </c>
    </row>
    <row r="74" spans="1:2">
      <c r="A74" t="s">
        <v>149</v>
      </c>
      <c r="B74" t="s">
        <v>311</v>
      </c>
    </row>
    <row r="75" spans="1:2">
      <c r="A75" t="s">
        <v>151</v>
      </c>
      <c r="B75" t="s">
        <v>312</v>
      </c>
    </row>
    <row r="76" spans="1:2">
      <c r="A76" t="s">
        <v>153</v>
      </c>
      <c r="B76" t="s">
        <v>313</v>
      </c>
    </row>
    <row r="77" spans="1:2">
      <c r="A77" t="s">
        <v>155</v>
      </c>
      <c r="B77" t="s">
        <v>314</v>
      </c>
    </row>
    <row r="78" spans="1:2">
      <c r="A78" t="s">
        <v>61</v>
      </c>
      <c r="B78" t="s">
        <v>61</v>
      </c>
    </row>
    <row r="79" spans="1:2">
      <c r="A79" t="s">
        <v>158</v>
      </c>
      <c r="B79" t="s">
        <v>315</v>
      </c>
    </row>
    <row r="80" spans="1:2">
      <c r="A80" t="s">
        <v>160</v>
      </c>
      <c r="B80" t="s">
        <v>160</v>
      </c>
    </row>
    <row r="81" spans="1:2">
      <c r="A81" t="s">
        <v>162</v>
      </c>
      <c r="B81" t="s">
        <v>316</v>
      </c>
    </row>
    <row r="82" spans="1:2">
      <c r="A82" t="s">
        <v>164</v>
      </c>
      <c r="B82" t="s">
        <v>317</v>
      </c>
    </row>
    <row r="83" spans="1:2">
      <c r="A83" t="s">
        <v>105</v>
      </c>
      <c r="B83" t="s">
        <v>289</v>
      </c>
    </row>
    <row r="84" spans="1:2">
      <c r="A84" t="s">
        <v>167</v>
      </c>
      <c r="B84" t="s">
        <v>318</v>
      </c>
    </row>
    <row r="85" spans="1:2">
      <c r="A85" t="s">
        <v>71</v>
      </c>
      <c r="B85" t="s">
        <v>319</v>
      </c>
    </row>
    <row r="86" spans="1:2">
      <c r="A86" t="s">
        <v>170</v>
      </c>
      <c r="B86" t="s">
        <v>320</v>
      </c>
    </row>
    <row r="87" spans="1:2">
      <c r="A87" t="s">
        <v>77</v>
      </c>
      <c r="B87" t="s">
        <v>321</v>
      </c>
    </row>
    <row r="88" spans="1:2">
      <c r="A88" t="s">
        <v>79</v>
      </c>
      <c r="B88" t="s">
        <v>79</v>
      </c>
    </row>
    <row r="89" spans="1:2">
      <c r="A89" t="s">
        <v>174</v>
      </c>
      <c r="B89" t="s">
        <v>284</v>
      </c>
    </row>
    <row r="90" spans="1:2">
      <c r="A90" t="s">
        <v>176</v>
      </c>
      <c r="B90" t="s">
        <v>322</v>
      </c>
    </row>
    <row r="91" spans="1:2">
      <c r="A91" t="s">
        <v>178</v>
      </c>
      <c r="B91" t="s">
        <v>289</v>
      </c>
    </row>
    <row r="92" spans="1:2">
      <c r="A92" t="s">
        <v>180</v>
      </c>
      <c r="B92" t="s">
        <v>323</v>
      </c>
    </row>
    <row r="93" spans="1:2">
      <c r="A93" s="138" t="s">
        <v>181</v>
      </c>
      <c r="B93" s="138" t="s">
        <v>324</v>
      </c>
    </row>
    <row r="94" spans="1:2">
      <c r="A94" t="s">
        <v>183</v>
      </c>
      <c r="B94" t="s">
        <v>325</v>
      </c>
    </row>
    <row r="95" spans="1:2">
      <c r="A95" t="s">
        <v>185</v>
      </c>
      <c r="B95" t="s">
        <v>326</v>
      </c>
    </row>
    <row r="96" spans="1:2">
      <c r="A96" t="s">
        <v>187</v>
      </c>
      <c r="B96" t="s">
        <v>327</v>
      </c>
    </row>
    <row r="97" spans="1:2">
      <c r="A97" t="s">
        <v>185</v>
      </c>
      <c r="B97" t="s">
        <v>326</v>
      </c>
    </row>
    <row r="98" spans="1:2">
      <c r="A98" t="s">
        <v>139</v>
      </c>
      <c r="B98" t="s">
        <v>305</v>
      </c>
    </row>
    <row r="99" spans="1:2">
      <c r="A99" s="138" t="s">
        <v>190</v>
      </c>
      <c r="B99" s="138" t="s">
        <v>328</v>
      </c>
    </row>
    <row r="100" spans="1:2">
      <c r="A100" t="s">
        <v>192</v>
      </c>
      <c r="B100" t="s">
        <v>329</v>
      </c>
    </row>
    <row r="101" spans="1:2">
      <c r="A101" t="s">
        <v>194</v>
      </c>
      <c r="B101" t="s">
        <v>330</v>
      </c>
    </row>
    <row r="102" spans="1:2">
      <c r="A102" t="s">
        <v>196</v>
      </c>
      <c r="B102" t="s">
        <v>331</v>
      </c>
    </row>
    <row r="103" spans="1:2">
      <c r="A103" t="s">
        <v>198</v>
      </c>
      <c r="B103" t="s">
        <v>198</v>
      </c>
    </row>
    <row r="104" spans="1:2">
      <c r="A104" t="s">
        <v>200</v>
      </c>
      <c r="B104" t="s">
        <v>332</v>
      </c>
    </row>
    <row r="105" spans="1:2">
      <c r="A105" t="s">
        <v>202</v>
      </c>
      <c r="B105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1"/>
  <sheetViews>
    <sheetView workbookViewId="0">
      <selection activeCell="A43" sqref="A43:H58"/>
    </sheetView>
  </sheetViews>
  <sheetFormatPr baseColWidth="10" defaultRowHeight="13.8"/>
  <cols>
    <col min="1" max="1" width="11.296875" customWidth="1"/>
    <col min="2" max="2" width="18.796875" customWidth="1"/>
    <col min="3" max="3" width="43.19921875" customWidth="1"/>
    <col min="4" max="4" width="14.796875" customWidth="1"/>
    <col min="7" max="7" width="15.8984375" customWidth="1"/>
    <col min="8" max="8" width="22.19921875" bestFit="1" customWidth="1"/>
  </cols>
  <sheetData>
    <row r="1" spans="1:11" ht="21.6" thickBot="1">
      <c r="A1" s="85"/>
      <c r="B1" s="154" t="s">
        <v>206</v>
      </c>
      <c r="C1" s="154"/>
      <c r="D1" s="154"/>
      <c r="E1" s="154"/>
      <c r="F1" s="154"/>
      <c r="G1" s="86">
        <v>2408</v>
      </c>
      <c r="H1" s="87"/>
    </row>
    <row r="2" spans="1:11" ht="18.600000000000001" customHeight="1">
      <c r="A2" s="89" t="s">
        <v>207</v>
      </c>
      <c r="B2" s="90"/>
      <c r="C2" s="89"/>
      <c r="D2" s="132">
        <f ca="1">TODAY()</f>
        <v>45706</v>
      </c>
      <c r="F2" s="108" t="s">
        <v>217</v>
      </c>
      <c r="G2" s="88" t="s">
        <v>212</v>
      </c>
      <c r="H2" s="109"/>
      <c r="K2" s="91"/>
    </row>
    <row r="3" spans="1:11" ht="18.600000000000001" customHeight="1">
      <c r="A3" s="92" t="s">
        <v>208</v>
      </c>
      <c r="B3" s="93"/>
      <c r="C3" s="92"/>
      <c r="D3" s="106"/>
      <c r="E3" s="106"/>
      <c r="F3" s="106"/>
      <c r="G3" s="106"/>
      <c r="H3" s="109"/>
    </row>
    <row r="4" spans="1:11" ht="18.600000000000001" customHeight="1">
      <c r="A4" s="92" t="s">
        <v>209</v>
      </c>
      <c r="B4" s="93"/>
      <c r="C4" s="92"/>
      <c r="D4" s="106"/>
      <c r="E4" s="124" t="s">
        <v>220</v>
      </c>
      <c r="F4" s="125"/>
      <c r="G4" s="125"/>
      <c r="H4" s="109"/>
    </row>
    <row r="5" spans="1:11" ht="18.600000000000001" customHeight="1">
      <c r="A5" s="92" t="s">
        <v>210</v>
      </c>
      <c r="B5" s="93"/>
      <c r="C5" s="92"/>
      <c r="D5" s="106"/>
      <c r="E5" s="126" t="s">
        <v>221</v>
      </c>
      <c r="F5" s="127"/>
      <c r="G5" s="103"/>
      <c r="H5" s="109"/>
    </row>
    <row r="6" spans="1:11" ht="18.600000000000001" customHeight="1">
      <c r="A6" s="92" t="s">
        <v>211</v>
      </c>
      <c r="B6" s="93"/>
      <c r="C6" s="92"/>
      <c r="D6" s="106"/>
      <c r="E6" s="128" t="s">
        <v>222</v>
      </c>
      <c r="F6" s="127"/>
      <c r="G6" s="103"/>
      <c r="H6" s="107"/>
      <c r="J6" s="88"/>
      <c r="K6" s="94"/>
    </row>
    <row r="7" spans="1:11" ht="18.600000000000001" customHeight="1">
      <c r="A7" s="92" t="s">
        <v>213</v>
      </c>
      <c r="B7" s="95"/>
      <c r="C7" s="92"/>
      <c r="D7" s="106"/>
      <c r="E7" s="126" t="s">
        <v>223</v>
      </c>
      <c r="F7" s="127"/>
      <c r="G7" s="103"/>
      <c r="H7" s="94"/>
      <c r="I7" s="96"/>
      <c r="J7" s="96"/>
      <c r="K7" s="94"/>
    </row>
    <row r="8" spans="1:11" ht="18.600000000000001" customHeight="1">
      <c r="A8" s="92" t="s">
        <v>214</v>
      </c>
      <c r="B8" s="93"/>
      <c r="C8" s="92"/>
      <c r="D8" s="106"/>
      <c r="E8" s="129" t="s">
        <v>224</v>
      </c>
      <c r="F8" s="130"/>
      <c r="G8" s="131"/>
      <c r="H8" s="110"/>
      <c r="J8" s="97"/>
      <c r="K8" s="94"/>
    </row>
    <row r="9" spans="1:11" ht="18.600000000000001" customHeight="1">
      <c r="A9" s="92" t="s">
        <v>215</v>
      </c>
      <c r="B9" s="93"/>
      <c r="C9" s="92"/>
      <c r="D9" s="98"/>
      <c r="H9" s="111"/>
      <c r="I9" s="99"/>
      <c r="J9" s="98"/>
      <c r="K9" s="100"/>
    </row>
    <row r="10" spans="1:11" ht="18.600000000000001" customHeight="1" thickBot="1">
      <c r="A10" s="101" t="s">
        <v>216</v>
      </c>
      <c r="B10" s="102"/>
      <c r="C10" s="92"/>
      <c r="D10" s="98"/>
      <c r="H10" s="94"/>
      <c r="I10" s="88"/>
      <c r="J10" s="88"/>
      <c r="K10" s="100"/>
    </row>
    <row r="11" spans="1:11" ht="30.6" customHeight="1" thickBot="1">
      <c r="A11" s="4" t="s">
        <v>1</v>
      </c>
      <c r="B11" s="5" t="s">
        <v>2</v>
      </c>
      <c r="C11" s="4" t="s">
        <v>3</v>
      </c>
      <c r="D11" s="6" t="s">
        <v>4</v>
      </c>
      <c r="E11" s="7" t="s">
        <v>5</v>
      </c>
      <c r="F11" s="8" t="s">
        <v>6</v>
      </c>
      <c r="G11" s="9" t="s">
        <v>7</v>
      </c>
      <c r="H11" s="4" t="s">
        <v>8</v>
      </c>
    </row>
    <row r="12" spans="1:11" ht="20.399999999999999" customHeight="1" thickBot="1">
      <c r="A12" s="5"/>
      <c r="B12" s="10"/>
      <c r="C12" s="11" t="s">
        <v>9</v>
      </c>
      <c r="D12" s="10"/>
      <c r="E12" s="12"/>
      <c r="F12" s="13"/>
      <c r="G12" s="12"/>
      <c r="H12" s="14"/>
    </row>
    <row r="13" spans="1:11" ht="18.600000000000001" customHeight="1">
      <c r="A13" s="112">
        <v>5002</v>
      </c>
      <c r="B13" s="24" t="s">
        <v>14</v>
      </c>
      <c r="C13" s="73" t="s">
        <v>15</v>
      </c>
      <c r="D13" s="26">
        <v>40</v>
      </c>
      <c r="E13" s="27">
        <v>5</v>
      </c>
      <c r="F13" s="74">
        <f t="shared" ref="F13:F42" si="0">D13*E13</f>
        <v>200</v>
      </c>
      <c r="G13" s="28">
        <v>2</v>
      </c>
      <c r="H13" s="113">
        <f t="shared" ref="H13:H42" si="1">F13*G13</f>
        <v>400</v>
      </c>
      <c r="J13" s="71">
        <f>G13-$K$13</f>
        <v>1.9</v>
      </c>
      <c r="K13">
        <v>0.1</v>
      </c>
    </row>
    <row r="14" spans="1:11" ht="18.600000000000001" customHeight="1">
      <c r="A14" s="112">
        <v>5007</v>
      </c>
      <c r="B14" s="24" t="s">
        <v>20</v>
      </c>
      <c r="C14" s="73" t="s">
        <v>21</v>
      </c>
      <c r="D14" s="26">
        <v>40</v>
      </c>
      <c r="E14" s="27">
        <v>15</v>
      </c>
      <c r="F14" s="74">
        <f t="shared" si="0"/>
        <v>600</v>
      </c>
      <c r="G14" s="28">
        <v>1.5999999999999999</v>
      </c>
      <c r="H14" s="113">
        <f t="shared" si="1"/>
        <v>959.99999999999989</v>
      </c>
      <c r="J14" s="71">
        <f t="shared" ref="J14:J42" si="2">G14-$K$13</f>
        <v>1.4999999999999998</v>
      </c>
    </row>
    <row r="15" spans="1:11" ht="18.600000000000001" customHeight="1">
      <c r="A15" s="112">
        <v>5015</v>
      </c>
      <c r="B15" s="33" t="s">
        <v>36</v>
      </c>
      <c r="C15" s="75" t="s">
        <v>37</v>
      </c>
      <c r="D15" s="26">
        <v>80</v>
      </c>
      <c r="E15" s="27">
        <v>3</v>
      </c>
      <c r="F15" s="74">
        <f t="shared" si="0"/>
        <v>240</v>
      </c>
      <c r="G15" s="28">
        <v>1.5999999999999999</v>
      </c>
      <c r="H15" s="113">
        <f t="shared" si="1"/>
        <v>383.99999999999994</v>
      </c>
      <c r="J15" s="71">
        <f t="shared" si="2"/>
        <v>1.4999999999999998</v>
      </c>
    </row>
    <row r="16" spans="1:11" ht="18.600000000000001" customHeight="1">
      <c r="A16" s="112">
        <v>5020</v>
      </c>
      <c r="B16" s="24" t="s">
        <v>42</v>
      </c>
      <c r="C16" s="73" t="s">
        <v>43</v>
      </c>
      <c r="D16" s="26">
        <v>40</v>
      </c>
      <c r="E16" s="27">
        <v>3</v>
      </c>
      <c r="F16" s="74">
        <f t="shared" si="0"/>
        <v>120</v>
      </c>
      <c r="G16" s="28">
        <v>3</v>
      </c>
      <c r="H16" s="113">
        <f t="shared" si="1"/>
        <v>360</v>
      </c>
      <c r="J16" s="71">
        <f t="shared" si="2"/>
        <v>2.9</v>
      </c>
    </row>
    <row r="17" spans="1:10" ht="18.600000000000001" customHeight="1">
      <c r="A17" s="112">
        <v>5025</v>
      </c>
      <c r="B17" s="33" t="s">
        <v>46</v>
      </c>
      <c r="C17" s="76" t="s">
        <v>47</v>
      </c>
      <c r="D17" s="26">
        <v>80</v>
      </c>
      <c r="E17" s="27">
        <v>1</v>
      </c>
      <c r="F17" s="74">
        <f t="shared" si="0"/>
        <v>80</v>
      </c>
      <c r="G17" s="28">
        <v>1.2999999999999998</v>
      </c>
      <c r="H17" s="113">
        <f t="shared" si="1"/>
        <v>103.99999999999999</v>
      </c>
      <c r="J17" s="71">
        <f t="shared" si="2"/>
        <v>1.1999999999999997</v>
      </c>
    </row>
    <row r="18" spans="1:10" ht="18.600000000000001" customHeight="1">
      <c r="A18" s="112">
        <v>5026</v>
      </c>
      <c r="B18" s="24" t="s">
        <v>48</v>
      </c>
      <c r="C18" s="73" t="s">
        <v>49</v>
      </c>
      <c r="D18" s="26">
        <v>40</v>
      </c>
      <c r="E18" s="27">
        <v>14</v>
      </c>
      <c r="F18" s="74">
        <f t="shared" si="0"/>
        <v>560</v>
      </c>
      <c r="G18" s="28">
        <v>1.5999999999999999</v>
      </c>
      <c r="H18" s="113">
        <f t="shared" si="1"/>
        <v>895.99999999999989</v>
      </c>
      <c r="J18" s="71">
        <f t="shared" si="2"/>
        <v>1.4999999999999998</v>
      </c>
    </row>
    <row r="19" spans="1:10" ht="18.600000000000001" customHeight="1">
      <c r="A19" s="112">
        <v>5027</v>
      </c>
      <c r="B19" s="24" t="s">
        <v>50</v>
      </c>
      <c r="C19" s="73" t="s">
        <v>51</v>
      </c>
      <c r="D19" s="26">
        <v>40</v>
      </c>
      <c r="E19" s="27">
        <v>5</v>
      </c>
      <c r="F19" s="74">
        <f t="shared" si="0"/>
        <v>200</v>
      </c>
      <c r="G19" s="28">
        <v>2</v>
      </c>
      <c r="H19" s="113">
        <f t="shared" si="1"/>
        <v>400</v>
      </c>
      <c r="J19" s="71">
        <f t="shared" si="2"/>
        <v>1.9</v>
      </c>
    </row>
    <row r="20" spans="1:10" ht="18.600000000000001" customHeight="1">
      <c r="A20" s="114">
        <v>5039</v>
      </c>
      <c r="B20" s="31" t="s">
        <v>54</v>
      </c>
      <c r="C20" s="73" t="s">
        <v>55</v>
      </c>
      <c r="D20" s="26">
        <v>45</v>
      </c>
      <c r="E20" s="27">
        <v>10</v>
      </c>
      <c r="F20" s="74">
        <f t="shared" si="0"/>
        <v>450</v>
      </c>
      <c r="G20" s="32">
        <v>1.5999999999999999</v>
      </c>
      <c r="H20" s="113">
        <f t="shared" si="1"/>
        <v>719.99999999999989</v>
      </c>
      <c r="J20" s="71">
        <f t="shared" si="2"/>
        <v>1.4999999999999998</v>
      </c>
    </row>
    <row r="21" spans="1:10" ht="18.600000000000001" customHeight="1">
      <c r="A21" s="112">
        <v>5041</v>
      </c>
      <c r="B21" s="24" t="s">
        <v>58</v>
      </c>
      <c r="C21" s="73" t="s">
        <v>59</v>
      </c>
      <c r="D21" s="26">
        <v>40</v>
      </c>
      <c r="E21" s="27">
        <v>6</v>
      </c>
      <c r="F21" s="74">
        <f t="shared" si="0"/>
        <v>240</v>
      </c>
      <c r="G21" s="28">
        <v>1.5999999999999999</v>
      </c>
      <c r="H21" s="113">
        <f t="shared" si="1"/>
        <v>383.99999999999994</v>
      </c>
      <c r="J21" s="71">
        <f t="shared" si="2"/>
        <v>1.4999999999999998</v>
      </c>
    </row>
    <row r="22" spans="1:10" ht="18.600000000000001" customHeight="1">
      <c r="A22" s="114">
        <v>5052</v>
      </c>
      <c r="B22" s="31" t="s">
        <v>64</v>
      </c>
      <c r="C22" s="75" t="s">
        <v>65</v>
      </c>
      <c r="D22" s="26">
        <v>45</v>
      </c>
      <c r="E22" s="27">
        <v>5</v>
      </c>
      <c r="F22" s="74">
        <f t="shared" si="0"/>
        <v>225</v>
      </c>
      <c r="G22" s="32">
        <v>1.5999999999999999</v>
      </c>
      <c r="H22" s="113">
        <f t="shared" si="1"/>
        <v>359.99999999999994</v>
      </c>
      <c r="J22" s="71">
        <f t="shared" si="2"/>
        <v>1.4999999999999998</v>
      </c>
    </row>
    <row r="23" spans="1:10" ht="18.600000000000001" customHeight="1">
      <c r="A23" s="112">
        <v>5057</v>
      </c>
      <c r="B23" s="24" t="s">
        <v>66</v>
      </c>
      <c r="C23" s="73" t="s">
        <v>67</v>
      </c>
      <c r="D23" s="26">
        <v>40</v>
      </c>
      <c r="E23" s="27">
        <v>2</v>
      </c>
      <c r="F23" s="74">
        <f t="shared" si="0"/>
        <v>80</v>
      </c>
      <c r="G23" s="28">
        <v>2</v>
      </c>
      <c r="H23" s="113">
        <f t="shared" si="1"/>
        <v>160</v>
      </c>
      <c r="J23" s="71">
        <f t="shared" si="2"/>
        <v>1.9</v>
      </c>
    </row>
    <row r="24" spans="1:10" ht="18.600000000000001" customHeight="1">
      <c r="A24" s="112">
        <v>5058</v>
      </c>
      <c r="B24" s="24" t="s">
        <v>68</v>
      </c>
      <c r="C24" s="73" t="s">
        <v>69</v>
      </c>
      <c r="D24" s="26">
        <v>55</v>
      </c>
      <c r="E24" s="27">
        <v>2</v>
      </c>
      <c r="F24" s="74">
        <f t="shared" si="0"/>
        <v>110</v>
      </c>
      <c r="G24" s="28">
        <v>3</v>
      </c>
      <c r="H24" s="113">
        <f t="shared" si="1"/>
        <v>330</v>
      </c>
      <c r="J24" s="71">
        <f t="shared" si="2"/>
        <v>2.9</v>
      </c>
    </row>
    <row r="25" spans="1:10" ht="18.600000000000001" customHeight="1">
      <c r="A25" s="112">
        <v>5060</v>
      </c>
      <c r="B25" s="24" t="s">
        <v>70</v>
      </c>
      <c r="C25" s="73" t="s">
        <v>71</v>
      </c>
      <c r="D25" s="26">
        <v>40</v>
      </c>
      <c r="E25" s="27">
        <v>15</v>
      </c>
      <c r="F25" s="74">
        <f t="shared" si="0"/>
        <v>600</v>
      </c>
      <c r="G25" s="28">
        <v>3</v>
      </c>
      <c r="H25" s="113">
        <f t="shared" si="1"/>
        <v>1800</v>
      </c>
      <c r="J25" s="71">
        <f t="shared" si="2"/>
        <v>2.9</v>
      </c>
    </row>
    <row r="26" spans="1:10" ht="18.600000000000001" customHeight="1">
      <c r="A26" s="112">
        <v>5061</v>
      </c>
      <c r="B26" s="33" t="s">
        <v>72</v>
      </c>
      <c r="C26" s="75" t="s">
        <v>73</v>
      </c>
      <c r="D26" s="26">
        <v>80</v>
      </c>
      <c r="E26" s="27">
        <v>5</v>
      </c>
      <c r="F26" s="74">
        <f t="shared" si="0"/>
        <v>400</v>
      </c>
      <c r="G26" s="28">
        <v>1.2999999999999998</v>
      </c>
      <c r="H26" s="113">
        <f t="shared" si="1"/>
        <v>519.99999999999989</v>
      </c>
      <c r="J26" s="71">
        <f t="shared" si="2"/>
        <v>1.1999999999999997</v>
      </c>
    </row>
    <row r="27" spans="1:10" ht="18.600000000000001" customHeight="1">
      <c r="A27" s="114">
        <v>5062</v>
      </c>
      <c r="B27" s="31" t="s">
        <v>74</v>
      </c>
      <c r="C27" s="73" t="s">
        <v>75</v>
      </c>
      <c r="D27" s="26">
        <v>45</v>
      </c>
      <c r="E27" s="27">
        <v>15</v>
      </c>
      <c r="F27" s="74">
        <f t="shared" si="0"/>
        <v>675</v>
      </c>
      <c r="G27" s="32">
        <v>1.5999999999999999</v>
      </c>
      <c r="H27" s="113">
        <f t="shared" si="1"/>
        <v>1080</v>
      </c>
      <c r="J27" s="71">
        <f t="shared" si="2"/>
        <v>1.4999999999999998</v>
      </c>
    </row>
    <row r="28" spans="1:10" ht="18.600000000000001" customHeight="1">
      <c r="A28" s="112">
        <v>5070</v>
      </c>
      <c r="B28" s="24" t="s">
        <v>76</v>
      </c>
      <c r="C28" s="73" t="s">
        <v>77</v>
      </c>
      <c r="D28" s="26">
        <v>40</v>
      </c>
      <c r="E28" s="27">
        <v>70</v>
      </c>
      <c r="F28" s="74">
        <f t="shared" si="0"/>
        <v>2800</v>
      </c>
      <c r="G28" s="28">
        <v>1.5999999999999999</v>
      </c>
      <c r="H28" s="113">
        <f t="shared" si="1"/>
        <v>4480</v>
      </c>
      <c r="J28" s="71">
        <f t="shared" si="2"/>
        <v>1.4999999999999998</v>
      </c>
    </row>
    <row r="29" spans="1:10" ht="18.600000000000001" customHeight="1">
      <c r="A29" s="112">
        <v>5075</v>
      </c>
      <c r="B29" s="24" t="s">
        <v>82</v>
      </c>
      <c r="C29" s="73" t="s">
        <v>83</v>
      </c>
      <c r="D29" s="26">
        <v>40</v>
      </c>
      <c r="E29" s="27">
        <v>23</v>
      </c>
      <c r="F29" s="74">
        <f t="shared" si="0"/>
        <v>920</v>
      </c>
      <c r="G29" s="28">
        <v>1.5999999999999999</v>
      </c>
      <c r="H29" s="113">
        <f t="shared" si="1"/>
        <v>1471.9999999999998</v>
      </c>
      <c r="J29" s="71">
        <f t="shared" si="2"/>
        <v>1.4999999999999998</v>
      </c>
    </row>
    <row r="30" spans="1:10" ht="18.600000000000001" customHeight="1">
      <c r="A30" s="112">
        <v>5078</v>
      </c>
      <c r="B30" s="24" t="s">
        <v>86</v>
      </c>
      <c r="C30" s="73" t="s">
        <v>87</v>
      </c>
      <c r="D30" s="26">
        <v>55</v>
      </c>
      <c r="E30" s="27">
        <v>10</v>
      </c>
      <c r="F30" s="74">
        <f t="shared" si="0"/>
        <v>550</v>
      </c>
      <c r="G30" s="28">
        <v>0.9</v>
      </c>
      <c r="H30" s="113">
        <f t="shared" si="1"/>
        <v>495</v>
      </c>
      <c r="J30" s="71">
        <f t="shared" si="2"/>
        <v>0.8</v>
      </c>
    </row>
    <row r="31" spans="1:10" ht="18.600000000000001" customHeight="1">
      <c r="A31" s="112">
        <v>5090</v>
      </c>
      <c r="B31" s="24" t="s">
        <v>94</v>
      </c>
      <c r="C31" s="73" t="s">
        <v>95</v>
      </c>
      <c r="D31" s="26">
        <v>25</v>
      </c>
      <c r="E31" s="27">
        <v>12</v>
      </c>
      <c r="F31" s="74">
        <f t="shared" si="0"/>
        <v>300</v>
      </c>
      <c r="G31" s="28">
        <v>1.5999999999999999</v>
      </c>
      <c r="H31" s="113">
        <f t="shared" si="1"/>
        <v>479.99999999999994</v>
      </c>
      <c r="J31" s="71">
        <f t="shared" si="2"/>
        <v>1.4999999999999998</v>
      </c>
    </row>
    <row r="32" spans="1:10" ht="18.600000000000001" customHeight="1">
      <c r="A32" s="112">
        <v>5092</v>
      </c>
      <c r="B32" s="24" t="s">
        <v>96</v>
      </c>
      <c r="C32" s="77" t="s">
        <v>97</v>
      </c>
      <c r="D32" s="26">
        <v>100</v>
      </c>
      <c r="E32" s="27">
        <v>1</v>
      </c>
      <c r="F32" s="74">
        <f t="shared" si="0"/>
        <v>100</v>
      </c>
      <c r="G32" s="28">
        <v>0.8</v>
      </c>
      <c r="H32" s="113">
        <f t="shared" si="1"/>
        <v>80</v>
      </c>
      <c r="J32" s="71">
        <f t="shared" si="2"/>
        <v>0.70000000000000007</v>
      </c>
    </row>
    <row r="33" spans="1:10" ht="18.600000000000001" customHeight="1">
      <c r="A33" s="112">
        <v>5093</v>
      </c>
      <c r="B33" s="24" t="s">
        <v>98</v>
      </c>
      <c r="C33" s="73" t="s">
        <v>99</v>
      </c>
      <c r="D33" s="26">
        <v>25</v>
      </c>
      <c r="E33" s="27">
        <v>12</v>
      </c>
      <c r="F33" s="74">
        <f t="shared" si="0"/>
        <v>300</v>
      </c>
      <c r="G33" s="28">
        <v>0.9</v>
      </c>
      <c r="H33" s="113">
        <f t="shared" si="1"/>
        <v>270</v>
      </c>
      <c r="J33" s="71">
        <f t="shared" si="2"/>
        <v>0.8</v>
      </c>
    </row>
    <row r="34" spans="1:10" ht="18.600000000000001" customHeight="1">
      <c r="A34" s="112">
        <v>5095</v>
      </c>
      <c r="B34" s="24" t="s">
        <v>102</v>
      </c>
      <c r="C34" s="73" t="s">
        <v>103</v>
      </c>
      <c r="D34" s="26">
        <v>40</v>
      </c>
      <c r="E34" s="27">
        <v>5</v>
      </c>
      <c r="F34" s="74">
        <f t="shared" si="0"/>
        <v>200</v>
      </c>
      <c r="G34" s="28">
        <v>1.5999999999999999</v>
      </c>
      <c r="H34" s="113">
        <f t="shared" si="1"/>
        <v>320</v>
      </c>
      <c r="J34" s="71">
        <f t="shared" si="2"/>
        <v>1.4999999999999998</v>
      </c>
    </row>
    <row r="35" spans="1:10" ht="18.600000000000001" customHeight="1">
      <c r="A35" s="112">
        <v>5096</v>
      </c>
      <c r="B35" s="24" t="s">
        <v>104</v>
      </c>
      <c r="C35" s="78" t="s">
        <v>105</v>
      </c>
      <c r="D35" s="26">
        <v>40</v>
      </c>
      <c r="E35" s="27">
        <v>14</v>
      </c>
      <c r="F35" s="74">
        <f t="shared" si="0"/>
        <v>560</v>
      </c>
      <c r="G35" s="28">
        <v>3</v>
      </c>
      <c r="H35" s="113">
        <f t="shared" si="1"/>
        <v>1680</v>
      </c>
      <c r="J35" s="71">
        <f t="shared" si="2"/>
        <v>2.9</v>
      </c>
    </row>
    <row r="36" spans="1:10" ht="18.600000000000001" customHeight="1">
      <c r="A36" s="115">
        <v>5100</v>
      </c>
      <c r="B36" s="42" t="s">
        <v>110</v>
      </c>
      <c r="C36" s="73" t="s">
        <v>111</v>
      </c>
      <c r="D36" s="42">
        <v>40</v>
      </c>
      <c r="E36" s="42">
        <v>1</v>
      </c>
      <c r="F36" s="74">
        <f t="shared" si="0"/>
        <v>40</v>
      </c>
      <c r="G36" s="43">
        <v>3.5</v>
      </c>
      <c r="H36" s="113">
        <f t="shared" si="1"/>
        <v>140</v>
      </c>
      <c r="J36" s="71">
        <f t="shared" si="2"/>
        <v>3.4</v>
      </c>
    </row>
    <row r="37" spans="1:10" ht="18.600000000000001" customHeight="1">
      <c r="A37" s="112">
        <v>5102</v>
      </c>
      <c r="B37" s="24" t="s">
        <v>112</v>
      </c>
      <c r="C37" s="78" t="s">
        <v>113</v>
      </c>
      <c r="D37" s="26">
        <v>40</v>
      </c>
      <c r="E37" s="27">
        <v>5</v>
      </c>
      <c r="F37" s="74">
        <f t="shared" si="0"/>
        <v>200</v>
      </c>
      <c r="G37" s="28">
        <v>3.5</v>
      </c>
      <c r="H37" s="113">
        <f t="shared" si="1"/>
        <v>700</v>
      </c>
      <c r="J37" s="71">
        <f t="shared" si="2"/>
        <v>3.4</v>
      </c>
    </row>
    <row r="38" spans="1:10" ht="18.600000000000001" customHeight="1">
      <c r="A38" s="116">
        <v>5104</v>
      </c>
      <c r="B38" s="45" t="s">
        <v>114</v>
      </c>
      <c r="C38" s="73" t="s">
        <v>115</v>
      </c>
      <c r="D38" s="37">
        <v>40</v>
      </c>
      <c r="E38" s="38">
        <v>1</v>
      </c>
      <c r="F38" s="74">
        <f t="shared" si="0"/>
        <v>40</v>
      </c>
      <c r="G38" s="39">
        <v>1.5999999999999999</v>
      </c>
      <c r="H38" s="113">
        <f t="shared" si="1"/>
        <v>63.999999999999993</v>
      </c>
      <c r="J38" s="71">
        <f t="shared" si="2"/>
        <v>1.4999999999999998</v>
      </c>
    </row>
    <row r="39" spans="1:10" ht="18.600000000000001" customHeight="1">
      <c r="A39" s="112">
        <v>5106</v>
      </c>
      <c r="B39" s="33" t="s">
        <v>118</v>
      </c>
      <c r="C39" s="75" t="s">
        <v>119</v>
      </c>
      <c r="D39" s="26">
        <v>80</v>
      </c>
      <c r="E39" s="27">
        <v>5</v>
      </c>
      <c r="F39" s="74">
        <f t="shared" si="0"/>
        <v>400</v>
      </c>
      <c r="G39" s="28">
        <v>3</v>
      </c>
      <c r="H39" s="113">
        <f t="shared" si="1"/>
        <v>1200</v>
      </c>
      <c r="J39" s="71">
        <f t="shared" si="2"/>
        <v>2.9</v>
      </c>
    </row>
    <row r="40" spans="1:10" ht="18.600000000000001" customHeight="1">
      <c r="A40" s="112">
        <v>5108</v>
      </c>
      <c r="B40" s="24" t="s">
        <v>122</v>
      </c>
      <c r="C40" s="73" t="s">
        <v>123</v>
      </c>
      <c r="D40" s="26">
        <v>40</v>
      </c>
      <c r="E40" s="27">
        <v>3</v>
      </c>
      <c r="F40" s="74">
        <f t="shared" si="0"/>
        <v>120</v>
      </c>
      <c r="G40" s="28">
        <v>1.5999999999999999</v>
      </c>
      <c r="H40" s="113">
        <f t="shared" si="1"/>
        <v>191.99999999999997</v>
      </c>
      <c r="J40" s="71">
        <f t="shared" si="2"/>
        <v>1.4999999999999998</v>
      </c>
    </row>
    <row r="41" spans="1:10" ht="18.600000000000001" customHeight="1">
      <c r="A41" s="114">
        <v>5110</v>
      </c>
      <c r="B41" s="31" t="s">
        <v>125</v>
      </c>
      <c r="C41" s="73" t="s">
        <v>126</v>
      </c>
      <c r="D41" s="26">
        <v>45</v>
      </c>
      <c r="E41" s="27">
        <v>3</v>
      </c>
      <c r="F41" s="74">
        <f t="shared" si="0"/>
        <v>135</v>
      </c>
      <c r="G41" s="32">
        <v>1.5999999999999999</v>
      </c>
      <c r="H41" s="113">
        <f t="shared" si="1"/>
        <v>215.99999999999997</v>
      </c>
      <c r="J41" s="71">
        <f t="shared" si="2"/>
        <v>1.4999999999999998</v>
      </c>
    </row>
    <row r="42" spans="1:10" ht="18.600000000000001" customHeight="1" thickBot="1">
      <c r="A42" s="115">
        <v>5111</v>
      </c>
      <c r="B42" s="42" t="s">
        <v>127</v>
      </c>
      <c r="C42" s="73" t="s">
        <v>128</v>
      </c>
      <c r="D42" s="42">
        <v>40</v>
      </c>
      <c r="E42" s="42">
        <v>39</v>
      </c>
      <c r="F42" s="74">
        <f t="shared" si="0"/>
        <v>1560</v>
      </c>
      <c r="G42" s="43">
        <v>2</v>
      </c>
      <c r="H42" s="113">
        <f t="shared" si="1"/>
        <v>3120</v>
      </c>
      <c r="J42" s="71">
        <f t="shared" si="2"/>
        <v>1.9</v>
      </c>
    </row>
    <row r="43" spans="1:10" ht="20.399999999999999" customHeight="1" thickBot="1">
      <c r="A43" s="5"/>
      <c r="B43" s="10"/>
      <c r="C43" s="58" t="s">
        <v>140</v>
      </c>
      <c r="D43" s="10"/>
      <c r="E43" s="12">
        <f>SUM(E13:E42)</f>
        <v>310</v>
      </c>
      <c r="F43" s="13"/>
      <c r="G43" s="81" t="s">
        <v>218</v>
      </c>
      <c r="H43" s="117">
        <f>SUM(H13:H42)</f>
        <v>23767</v>
      </c>
    </row>
    <row r="44" spans="1:10" ht="18.600000000000001" customHeight="1">
      <c r="A44" s="112">
        <v>302</v>
      </c>
      <c r="B44" s="24" t="s">
        <v>142</v>
      </c>
      <c r="C44" s="77" t="s">
        <v>143</v>
      </c>
      <c r="D44" s="26">
        <v>80</v>
      </c>
      <c r="E44" s="27">
        <v>6</v>
      </c>
      <c r="F44" s="74">
        <f t="shared" ref="F44:F53" si="3">D44*E44</f>
        <v>480</v>
      </c>
      <c r="G44" s="28">
        <v>0.6</v>
      </c>
      <c r="H44" s="113">
        <f t="shared" ref="H44:H53" si="4">F44*G44</f>
        <v>288</v>
      </c>
      <c r="J44" s="71">
        <f>G44-0.05</f>
        <v>0.54999999999999993</v>
      </c>
    </row>
    <row r="45" spans="1:10" ht="18.600000000000001" customHeight="1">
      <c r="A45" s="112">
        <v>310</v>
      </c>
      <c r="B45" s="24" t="s">
        <v>146</v>
      </c>
      <c r="C45" s="73" t="s">
        <v>147</v>
      </c>
      <c r="D45" s="26">
        <v>45</v>
      </c>
      <c r="E45" s="27">
        <v>40</v>
      </c>
      <c r="F45" s="74">
        <f t="shared" si="3"/>
        <v>1800</v>
      </c>
      <c r="G45" s="28">
        <v>0.79999999999999993</v>
      </c>
      <c r="H45" s="113">
        <f t="shared" si="4"/>
        <v>1439.9999999999998</v>
      </c>
      <c r="J45" s="71">
        <f t="shared" ref="J45:J53" si="5">G45-0.05</f>
        <v>0.74999999999999989</v>
      </c>
    </row>
    <row r="46" spans="1:10" ht="18.600000000000001" customHeight="1">
      <c r="A46" s="115">
        <v>313</v>
      </c>
      <c r="B46" s="42" t="s">
        <v>32</v>
      </c>
      <c r="C46" s="73" t="s">
        <v>35</v>
      </c>
      <c r="D46" s="42">
        <v>40</v>
      </c>
      <c r="E46" s="42">
        <v>5</v>
      </c>
      <c r="F46" s="74">
        <f t="shared" si="3"/>
        <v>200</v>
      </c>
      <c r="G46" s="43">
        <v>0.69999999999999984</v>
      </c>
      <c r="H46" s="113">
        <f t="shared" si="4"/>
        <v>139.99999999999997</v>
      </c>
      <c r="J46" s="71">
        <f t="shared" si="5"/>
        <v>0.6499999999999998</v>
      </c>
    </row>
    <row r="47" spans="1:10" ht="18.600000000000001" customHeight="1">
      <c r="A47" s="115">
        <v>320</v>
      </c>
      <c r="B47" s="42" t="s">
        <v>148</v>
      </c>
      <c r="C47" s="73" t="s">
        <v>149</v>
      </c>
      <c r="D47" s="42">
        <v>40</v>
      </c>
      <c r="E47" s="42">
        <v>5</v>
      </c>
      <c r="F47" s="74">
        <f t="shared" si="3"/>
        <v>200</v>
      </c>
      <c r="G47" s="43">
        <v>0.69999999999999984</v>
      </c>
      <c r="H47" s="113">
        <f t="shared" si="4"/>
        <v>139.99999999999997</v>
      </c>
      <c r="J47" s="71">
        <f t="shared" si="5"/>
        <v>0.6499999999999998</v>
      </c>
    </row>
    <row r="48" spans="1:10" ht="18.600000000000001" customHeight="1">
      <c r="A48" s="115">
        <v>328</v>
      </c>
      <c r="B48" s="42" t="s">
        <v>152</v>
      </c>
      <c r="C48" s="73" t="s">
        <v>153</v>
      </c>
      <c r="D48" s="42">
        <v>40</v>
      </c>
      <c r="E48" s="42">
        <v>48</v>
      </c>
      <c r="F48" s="74">
        <f t="shared" si="3"/>
        <v>1920</v>
      </c>
      <c r="G48" s="43">
        <v>1.2</v>
      </c>
      <c r="H48" s="113">
        <f t="shared" si="4"/>
        <v>2304</v>
      </c>
      <c r="J48" s="71">
        <f t="shared" si="5"/>
        <v>1.1499999999999999</v>
      </c>
    </row>
    <row r="49" spans="1:11" ht="18.600000000000001" customHeight="1">
      <c r="A49" s="112">
        <v>337</v>
      </c>
      <c r="B49" s="24" t="s">
        <v>154</v>
      </c>
      <c r="C49" s="78" t="s">
        <v>155</v>
      </c>
      <c r="D49" s="26">
        <v>55</v>
      </c>
      <c r="E49" s="27">
        <v>58</v>
      </c>
      <c r="F49" s="74">
        <f t="shared" si="3"/>
        <v>3190</v>
      </c>
      <c r="G49" s="28">
        <v>0.64999999999999991</v>
      </c>
      <c r="H49" s="113">
        <f t="shared" si="4"/>
        <v>2073.4999999999995</v>
      </c>
      <c r="J49" s="71">
        <f t="shared" si="5"/>
        <v>0.59999999999999987</v>
      </c>
    </row>
    <row r="50" spans="1:11" ht="18.600000000000001" customHeight="1">
      <c r="A50" s="115">
        <v>357</v>
      </c>
      <c r="B50" s="42" t="s">
        <v>163</v>
      </c>
      <c r="C50" s="73" t="s">
        <v>164</v>
      </c>
      <c r="D50" s="42">
        <v>45</v>
      </c>
      <c r="E50" s="42">
        <v>2</v>
      </c>
      <c r="F50" s="74">
        <f t="shared" si="3"/>
        <v>90</v>
      </c>
      <c r="G50" s="43">
        <v>0.69999999999999984</v>
      </c>
      <c r="H50" s="113">
        <f t="shared" si="4"/>
        <v>62.999999999999986</v>
      </c>
      <c r="J50" s="71">
        <f t="shared" si="5"/>
        <v>0.6499999999999998</v>
      </c>
    </row>
    <row r="51" spans="1:11" ht="18.600000000000001" customHeight="1">
      <c r="A51" s="112">
        <v>358</v>
      </c>
      <c r="B51" s="24" t="s">
        <v>165</v>
      </c>
      <c r="C51" s="78" t="s">
        <v>105</v>
      </c>
      <c r="D51" s="26">
        <v>45</v>
      </c>
      <c r="E51" s="27">
        <v>10</v>
      </c>
      <c r="F51" s="74">
        <f t="shared" si="3"/>
        <v>450</v>
      </c>
      <c r="G51" s="28">
        <v>0.79999999999999993</v>
      </c>
      <c r="H51" s="113">
        <f t="shared" si="4"/>
        <v>359.99999999999994</v>
      </c>
      <c r="J51" s="71">
        <f t="shared" si="5"/>
        <v>0.74999999999999989</v>
      </c>
    </row>
    <row r="52" spans="1:11" ht="18.600000000000001" customHeight="1">
      <c r="A52" s="115">
        <v>360</v>
      </c>
      <c r="B52" s="42" t="s">
        <v>168</v>
      </c>
      <c r="C52" s="73" t="s">
        <v>71</v>
      </c>
      <c r="D52" s="42">
        <v>45</v>
      </c>
      <c r="E52" s="27">
        <v>15</v>
      </c>
      <c r="F52" s="74">
        <f t="shared" si="3"/>
        <v>675</v>
      </c>
      <c r="G52" s="43">
        <v>0.69999999999999984</v>
      </c>
      <c r="H52" s="113">
        <f t="shared" si="4"/>
        <v>472.49999999999989</v>
      </c>
      <c r="J52" s="71">
        <f t="shared" si="5"/>
        <v>0.6499999999999998</v>
      </c>
    </row>
    <row r="53" spans="1:11" ht="18.600000000000001" customHeight="1">
      <c r="A53" s="115">
        <v>361</v>
      </c>
      <c r="B53" s="42" t="s">
        <v>169</v>
      </c>
      <c r="C53" s="73" t="s">
        <v>170</v>
      </c>
      <c r="D53" s="42">
        <v>45</v>
      </c>
      <c r="E53" s="42">
        <v>15</v>
      </c>
      <c r="F53" s="74">
        <f t="shared" si="3"/>
        <v>675</v>
      </c>
      <c r="G53" s="43">
        <v>0.69999999999999984</v>
      </c>
      <c r="H53" s="113">
        <f t="shared" si="4"/>
        <v>472.49999999999989</v>
      </c>
      <c r="J53" s="71">
        <f t="shared" si="5"/>
        <v>0.6499999999999998</v>
      </c>
    </row>
    <row r="54" spans="1:11" ht="22.8">
      <c r="A54" s="118"/>
      <c r="B54" s="79"/>
      <c r="C54" s="153" t="s">
        <v>190</v>
      </c>
      <c r="D54" s="153"/>
      <c r="E54" s="80">
        <f>SUM(E44:E53)</f>
        <v>204</v>
      </c>
      <c r="F54" s="80"/>
      <c r="G54" s="81" t="s">
        <v>218</v>
      </c>
      <c r="H54" s="119">
        <f>SUM(H44:H53)</f>
        <v>7753.5</v>
      </c>
    </row>
    <row r="55" spans="1:11" ht="26.4" customHeight="1">
      <c r="A55" s="114">
        <v>405</v>
      </c>
      <c r="B55" s="31" t="s">
        <v>191</v>
      </c>
      <c r="C55" s="73" t="s">
        <v>192</v>
      </c>
      <c r="D55" s="26">
        <v>25</v>
      </c>
      <c r="E55" s="27">
        <v>5</v>
      </c>
      <c r="F55" s="69">
        <f>D55*E55</f>
        <v>125</v>
      </c>
      <c r="G55" s="32">
        <v>2.5</v>
      </c>
      <c r="H55" s="120">
        <f>F55*G55</f>
        <v>312.5</v>
      </c>
    </row>
    <row r="56" spans="1:11" ht="18.600000000000001" customHeight="1">
      <c r="A56" s="114">
        <v>435</v>
      </c>
      <c r="B56" s="31" t="s">
        <v>193</v>
      </c>
      <c r="C56" s="73" t="s">
        <v>194</v>
      </c>
      <c r="D56" s="26">
        <v>10</v>
      </c>
      <c r="E56" s="27">
        <v>13</v>
      </c>
      <c r="F56" s="69">
        <f t="shared" ref="F56:F58" si="6">D56*E56</f>
        <v>130</v>
      </c>
      <c r="G56" s="32">
        <v>2.5</v>
      </c>
      <c r="H56" s="120">
        <f t="shared" ref="H56:H58" si="7">F56*G56</f>
        <v>325</v>
      </c>
    </row>
    <row r="57" spans="1:11" ht="18.600000000000001" customHeight="1">
      <c r="A57" s="112">
        <v>865</v>
      </c>
      <c r="B57" s="24" t="s">
        <v>197</v>
      </c>
      <c r="C57" s="78" t="s">
        <v>198</v>
      </c>
      <c r="D57" s="26">
        <v>20</v>
      </c>
      <c r="E57" s="27">
        <v>60</v>
      </c>
      <c r="F57" s="69">
        <f t="shared" si="6"/>
        <v>1200</v>
      </c>
      <c r="G57" s="28">
        <v>0.65</v>
      </c>
      <c r="H57" s="120">
        <f t="shared" si="7"/>
        <v>780</v>
      </c>
    </row>
    <row r="58" spans="1:11" ht="18.600000000000001" customHeight="1">
      <c r="A58" s="121">
        <v>870</v>
      </c>
      <c r="B58" s="60" t="s">
        <v>199</v>
      </c>
      <c r="C58" s="82" t="s">
        <v>200</v>
      </c>
      <c r="D58" s="55">
        <v>200</v>
      </c>
      <c r="E58" s="56">
        <v>1</v>
      </c>
      <c r="F58" s="83">
        <f t="shared" si="6"/>
        <v>200</v>
      </c>
      <c r="G58" s="57">
        <v>2.2999999999999998</v>
      </c>
      <c r="H58" s="120">
        <f t="shared" si="7"/>
        <v>459.99999999999994</v>
      </c>
    </row>
    <row r="59" spans="1:11" ht="18.600000000000001" customHeight="1">
      <c r="A59" s="122"/>
      <c r="B59" s="84"/>
      <c r="C59" s="84"/>
      <c r="D59" s="84"/>
      <c r="E59" s="84">
        <f>SUM(E55:E58)</f>
        <v>79</v>
      </c>
      <c r="F59" s="84"/>
      <c r="G59" s="81" t="s">
        <v>218</v>
      </c>
      <c r="H59" s="123">
        <f>SUM(H55:H58)</f>
        <v>1877.5</v>
      </c>
    </row>
    <row r="60" spans="1:11" ht="22.2" customHeight="1">
      <c r="A60" s="122"/>
      <c r="B60" s="84"/>
      <c r="C60" s="104" t="s">
        <v>225</v>
      </c>
      <c r="D60" s="84"/>
      <c r="E60" s="134">
        <f>E43+E54+E59</f>
        <v>593</v>
      </c>
      <c r="F60" s="84"/>
      <c r="G60" s="84"/>
      <c r="H60" s="133">
        <f>H43+H54+H59</f>
        <v>33398</v>
      </c>
    </row>
    <row r="61" spans="1:11">
      <c r="A61" s="105"/>
      <c r="B61" s="88" t="s">
        <v>219</v>
      </c>
      <c r="C61" s="88"/>
      <c r="D61" s="88"/>
      <c r="E61" s="88"/>
      <c r="F61" s="88"/>
      <c r="G61" s="88"/>
      <c r="H61" s="94"/>
      <c r="I61" s="88"/>
      <c r="J61" s="88"/>
      <c r="K61" s="88"/>
    </row>
  </sheetData>
  <mergeCells count="2">
    <mergeCell ref="B1:F1"/>
    <mergeCell ref="C54:D54"/>
  </mergeCells>
  <conditionalFormatting sqref="A12:A42">
    <cfRule type="duplicateValues" dxfId="31" priority="4"/>
  </conditionalFormatting>
  <conditionalFormatting sqref="A43:A53">
    <cfRule type="duplicateValues" dxfId="30" priority="3"/>
  </conditionalFormatting>
  <conditionalFormatting sqref="A54:A56">
    <cfRule type="duplicateValues" dxfId="29" priority="2"/>
  </conditionalFormatting>
  <conditionalFormatting sqref="A57:A58">
    <cfRule type="duplicateValues" dxfId="28" priority="1"/>
  </conditionalFormatting>
  <hyperlinks>
    <hyperlink ref="A5" r:id="rId1" display="http://www.amiratex-france.com/"/>
  </hyperlinks>
  <pageMargins left="0.23622047244094491" right="0.23622047244094491" top="0" bottom="0" header="0" footer="0"/>
  <pageSetup paperSize="9" scale="66" fitToHeight="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6"/>
  <sheetViews>
    <sheetView workbookViewId="0">
      <selection sqref="A1:F216"/>
    </sheetView>
  </sheetViews>
  <sheetFormatPr baseColWidth="10" defaultRowHeight="13.8"/>
  <cols>
    <col min="2" max="2" width="18.3984375" customWidth="1"/>
    <col min="3" max="3" width="44.3984375" customWidth="1"/>
    <col min="4" max="4" width="18.09765625" customWidth="1"/>
    <col min="5" max="6" width="17.19921875" customWidth="1"/>
  </cols>
  <sheetData>
    <row r="1" spans="1:6" ht="30.6" customHeight="1" thickBot="1">
      <c r="C1" s="2" t="s">
        <v>0</v>
      </c>
    </row>
    <row r="2" spans="1:6" ht="20.399999999999999" customHeight="1" thickBot="1">
      <c r="A2" s="4" t="s">
        <v>1</v>
      </c>
      <c r="B2" s="5" t="s">
        <v>2</v>
      </c>
      <c r="C2" s="4" t="s">
        <v>3</v>
      </c>
      <c r="D2" s="6" t="s">
        <v>4</v>
      </c>
      <c r="E2" s="7" t="s">
        <v>5</v>
      </c>
      <c r="F2" s="8" t="s">
        <v>6</v>
      </c>
    </row>
    <row r="3" spans="1:6" ht="20.399999999999999" customHeight="1" thickBot="1">
      <c r="A3" s="5"/>
      <c r="B3" s="10"/>
      <c r="C3" s="11" t="s">
        <v>9</v>
      </c>
      <c r="D3" s="10"/>
      <c r="E3" s="12"/>
      <c r="F3" s="13"/>
    </row>
    <row r="4" spans="1:6" ht="20.399999999999999" customHeight="1">
      <c r="A4" s="15">
        <v>5000</v>
      </c>
      <c r="B4" s="16" t="s">
        <v>10</v>
      </c>
      <c r="C4" s="17" t="s">
        <v>11</v>
      </c>
      <c r="D4" s="18">
        <v>40</v>
      </c>
      <c r="E4" s="19">
        <v>5</v>
      </c>
      <c r="F4" s="20">
        <f t="shared" ref="F4:F66" si="0">D4*E4</f>
        <v>200</v>
      </c>
    </row>
    <row r="5" spans="1:6" ht="20.399999999999999" customHeight="1">
      <c r="A5" s="23">
        <v>5001</v>
      </c>
      <c r="B5" s="24" t="s">
        <v>12</v>
      </c>
      <c r="C5" s="25" t="s">
        <v>13</v>
      </c>
      <c r="D5" s="26">
        <v>65</v>
      </c>
      <c r="E5" s="27">
        <v>6</v>
      </c>
      <c r="F5" s="20">
        <f t="shared" si="0"/>
        <v>390</v>
      </c>
    </row>
    <row r="6" spans="1:6" ht="20.399999999999999" customHeight="1">
      <c r="A6" s="23">
        <v>5002</v>
      </c>
      <c r="B6" s="24" t="s">
        <v>14</v>
      </c>
      <c r="C6" s="17" t="s">
        <v>15</v>
      </c>
      <c r="D6" s="26">
        <v>40</v>
      </c>
      <c r="E6" s="27">
        <v>5</v>
      </c>
      <c r="F6" s="20">
        <f t="shared" si="0"/>
        <v>200</v>
      </c>
    </row>
    <row r="7" spans="1:6" ht="20.399999999999999" customHeight="1">
      <c r="A7" s="29">
        <v>5003</v>
      </c>
      <c r="B7" s="24" t="s">
        <v>16</v>
      </c>
      <c r="C7" s="25" t="s">
        <v>17</v>
      </c>
      <c r="D7" s="26">
        <v>40</v>
      </c>
      <c r="E7" s="27">
        <v>35</v>
      </c>
      <c r="F7" s="20">
        <f t="shared" si="0"/>
        <v>1400</v>
      </c>
    </row>
    <row r="8" spans="1:6" ht="20.399999999999999" customHeight="1">
      <c r="A8" s="30">
        <v>5006</v>
      </c>
      <c r="B8" s="31" t="s">
        <v>18</v>
      </c>
      <c r="C8" s="17" t="s">
        <v>19</v>
      </c>
      <c r="D8" s="26">
        <v>45</v>
      </c>
      <c r="E8" s="27">
        <v>10</v>
      </c>
      <c r="F8" s="20">
        <f t="shared" si="0"/>
        <v>450</v>
      </c>
    </row>
    <row r="9" spans="1:6" ht="20.399999999999999" customHeight="1">
      <c r="A9" s="23">
        <v>5007</v>
      </c>
      <c r="B9" s="24" t="s">
        <v>20</v>
      </c>
      <c r="C9" s="25" t="s">
        <v>21</v>
      </c>
      <c r="D9" s="26">
        <v>40</v>
      </c>
      <c r="E9" s="27">
        <v>15</v>
      </c>
      <c r="F9" s="20">
        <f t="shared" si="0"/>
        <v>600</v>
      </c>
    </row>
    <row r="10" spans="1:6" ht="20.399999999999999" customHeight="1">
      <c r="A10" s="23">
        <v>5008</v>
      </c>
      <c r="B10" s="24" t="s">
        <v>22</v>
      </c>
      <c r="C10" s="17" t="s">
        <v>23</v>
      </c>
      <c r="D10" s="26">
        <v>40</v>
      </c>
      <c r="E10" s="27">
        <v>3</v>
      </c>
      <c r="F10" s="20">
        <f t="shared" si="0"/>
        <v>120</v>
      </c>
    </row>
    <row r="11" spans="1:6" ht="20.399999999999999" customHeight="1">
      <c r="A11" s="23">
        <v>5009</v>
      </c>
      <c r="B11" s="24" t="s">
        <v>24</v>
      </c>
      <c r="C11" s="25" t="s">
        <v>25</v>
      </c>
      <c r="D11" s="26">
        <v>55</v>
      </c>
      <c r="E11" s="27">
        <v>8</v>
      </c>
      <c r="F11" s="20">
        <f t="shared" si="0"/>
        <v>440</v>
      </c>
    </row>
    <row r="12" spans="1:6" ht="20.399999999999999" customHeight="1">
      <c r="A12" s="30">
        <v>5010</v>
      </c>
      <c r="B12" s="31" t="s">
        <v>26</v>
      </c>
      <c r="C12" s="17" t="s">
        <v>27</v>
      </c>
      <c r="D12" s="26">
        <v>45</v>
      </c>
      <c r="E12" s="27">
        <v>15</v>
      </c>
      <c r="F12" s="20">
        <f t="shared" si="0"/>
        <v>675</v>
      </c>
    </row>
    <row r="13" spans="1:6" ht="20.399999999999999" customHeight="1">
      <c r="A13" s="30">
        <v>5011</v>
      </c>
      <c r="B13" s="31" t="s">
        <v>28</v>
      </c>
      <c r="C13" s="25" t="s">
        <v>29</v>
      </c>
      <c r="D13" s="26">
        <v>45</v>
      </c>
      <c r="E13" s="27">
        <v>4</v>
      </c>
      <c r="F13" s="20">
        <f t="shared" si="0"/>
        <v>180</v>
      </c>
    </row>
    <row r="14" spans="1:6" ht="20.399999999999999" customHeight="1">
      <c r="A14" s="23">
        <v>5012</v>
      </c>
      <c r="B14" s="24" t="s">
        <v>30</v>
      </c>
      <c r="C14" s="17" t="s">
        <v>31</v>
      </c>
      <c r="D14" s="26">
        <v>40</v>
      </c>
      <c r="E14" s="27">
        <v>10</v>
      </c>
      <c r="F14" s="20">
        <f t="shared" si="0"/>
        <v>400</v>
      </c>
    </row>
    <row r="15" spans="1:6" ht="20.399999999999999" customHeight="1">
      <c r="A15" s="23">
        <v>5013</v>
      </c>
      <c r="B15" s="24" t="s">
        <v>32</v>
      </c>
      <c r="C15" s="25" t="s">
        <v>33</v>
      </c>
      <c r="D15" s="26">
        <v>40</v>
      </c>
      <c r="E15" s="27">
        <v>2</v>
      </c>
      <c r="F15" s="20">
        <f t="shared" si="0"/>
        <v>80</v>
      </c>
    </row>
    <row r="16" spans="1:6" ht="20.399999999999999" customHeight="1">
      <c r="A16" s="23">
        <v>5014</v>
      </c>
      <c r="B16" s="24" t="s">
        <v>34</v>
      </c>
      <c r="C16" s="17" t="s">
        <v>35</v>
      </c>
      <c r="D16" s="26">
        <v>55</v>
      </c>
      <c r="E16" s="27">
        <v>4</v>
      </c>
      <c r="F16" s="20">
        <f t="shared" si="0"/>
        <v>220</v>
      </c>
    </row>
    <row r="17" spans="1:6" ht="20.399999999999999" customHeight="1">
      <c r="A17" s="23">
        <v>5015</v>
      </c>
      <c r="B17" s="33" t="s">
        <v>36</v>
      </c>
      <c r="C17" s="34" t="s">
        <v>37</v>
      </c>
      <c r="D17" s="26">
        <v>80</v>
      </c>
      <c r="E17" s="27">
        <v>3</v>
      </c>
      <c r="F17" s="20">
        <f t="shared" si="0"/>
        <v>240</v>
      </c>
    </row>
    <row r="18" spans="1:6" ht="20.399999999999999" customHeight="1">
      <c r="A18" s="30">
        <v>5017</v>
      </c>
      <c r="B18" s="31" t="s">
        <v>38</v>
      </c>
      <c r="C18" s="17" t="s">
        <v>39</v>
      </c>
      <c r="D18" s="26">
        <v>45</v>
      </c>
      <c r="E18" s="27">
        <v>1</v>
      </c>
      <c r="F18" s="20">
        <f t="shared" si="0"/>
        <v>45</v>
      </c>
    </row>
    <row r="19" spans="1:6" ht="20.399999999999999" customHeight="1">
      <c r="A19" s="23">
        <v>5018</v>
      </c>
      <c r="B19" s="24" t="s">
        <v>40</v>
      </c>
      <c r="C19" s="25" t="s">
        <v>41</v>
      </c>
      <c r="D19" s="26">
        <v>40</v>
      </c>
      <c r="E19" s="27">
        <v>10</v>
      </c>
      <c r="F19" s="20">
        <f t="shared" si="0"/>
        <v>400</v>
      </c>
    </row>
    <row r="20" spans="1:6" ht="20.399999999999999" customHeight="1">
      <c r="A20" s="23">
        <v>5020</v>
      </c>
      <c r="B20" s="24" t="s">
        <v>42</v>
      </c>
      <c r="C20" s="17" t="s">
        <v>43</v>
      </c>
      <c r="D20" s="26">
        <v>40</v>
      </c>
      <c r="E20" s="27">
        <v>3</v>
      </c>
      <c r="F20" s="20">
        <f t="shared" si="0"/>
        <v>120</v>
      </c>
    </row>
    <row r="21" spans="1:6" ht="20.399999999999999" customHeight="1">
      <c r="A21" s="35">
        <v>5024</v>
      </c>
      <c r="B21" s="36" t="s">
        <v>44</v>
      </c>
      <c r="C21" s="25" t="s">
        <v>45</v>
      </c>
      <c r="D21" s="37">
        <v>40</v>
      </c>
      <c r="E21" s="38">
        <v>5</v>
      </c>
      <c r="F21" s="20">
        <f t="shared" si="0"/>
        <v>200</v>
      </c>
    </row>
    <row r="22" spans="1:6" ht="20.399999999999999" customHeight="1">
      <c r="A22" s="23">
        <v>5025</v>
      </c>
      <c r="B22" s="33" t="s">
        <v>46</v>
      </c>
      <c r="C22" s="40" t="s">
        <v>47</v>
      </c>
      <c r="D22" s="26">
        <v>80</v>
      </c>
      <c r="E22" s="27">
        <v>1</v>
      </c>
      <c r="F22" s="20">
        <f t="shared" si="0"/>
        <v>80</v>
      </c>
    </row>
    <row r="23" spans="1:6" ht="20.399999999999999" customHeight="1">
      <c r="A23" s="23">
        <v>5026</v>
      </c>
      <c r="B23" s="24" t="s">
        <v>48</v>
      </c>
      <c r="C23" s="25" t="s">
        <v>49</v>
      </c>
      <c r="D23" s="26">
        <v>40</v>
      </c>
      <c r="E23" s="27">
        <v>14</v>
      </c>
      <c r="F23" s="20">
        <f t="shared" si="0"/>
        <v>560</v>
      </c>
    </row>
    <row r="24" spans="1:6" ht="20.399999999999999" customHeight="1">
      <c r="A24" s="23">
        <v>5027</v>
      </c>
      <c r="B24" s="24" t="s">
        <v>50</v>
      </c>
      <c r="C24" s="17" t="s">
        <v>51</v>
      </c>
      <c r="D24" s="26">
        <v>40</v>
      </c>
      <c r="E24" s="27">
        <v>5</v>
      </c>
      <c r="F24" s="20">
        <f t="shared" si="0"/>
        <v>200</v>
      </c>
    </row>
    <row r="25" spans="1:6" ht="20.399999999999999" customHeight="1">
      <c r="A25" s="23">
        <v>5036</v>
      </c>
      <c r="B25" s="24" t="s">
        <v>52</v>
      </c>
      <c r="C25" s="25" t="s">
        <v>53</v>
      </c>
      <c r="D25" s="26">
        <v>55</v>
      </c>
      <c r="E25" s="27">
        <v>2</v>
      </c>
      <c r="F25" s="20">
        <f t="shared" si="0"/>
        <v>110</v>
      </c>
    </row>
    <row r="26" spans="1:6" ht="20.399999999999999" customHeight="1">
      <c r="A26" s="30">
        <v>5039</v>
      </c>
      <c r="B26" s="31" t="s">
        <v>54</v>
      </c>
      <c r="C26" s="17" t="s">
        <v>55</v>
      </c>
      <c r="D26" s="26">
        <v>45</v>
      </c>
      <c r="E26" s="27">
        <v>10</v>
      </c>
      <c r="F26" s="20">
        <f t="shared" si="0"/>
        <v>450</v>
      </c>
    </row>
    <row r="27" spans="1:6" ht="20.399999999999999" customHeight="1">
      <c r="A27" s="30">
        <v>5040</v>
      </c>
      <c r="B27" s="31" t="s">
        <v>56</v>
      </c>
      <c r="C27" s="34" t="s">
        <v>57</v>
      </c>
      <c r="D27" s="26">
        <v>45</v>
      </c>
      <c r="E27" s="27">
        <v>10</v>
      </c>
      <c r="F27" s="20">
        <f t="shared" si="0"/>
        <v>450</v>
      </c>
    </row>
    <row r="28" spans="1:6" ht="20.399999999999999" customHeight="1">
      <c r="A28" s="23">
        <v>5041</v>
      </c>
      <c r="B28" s="24" t="s">
        <v>58</v>
      </c>
      <c r="C28" s="17" t="s">
        <v>59</v>
      </c>
      <c r="D28" s="26">
        <v>40</v>
      </c>
      <c r="E28" s="27">
        <v>6</v>
      </c>
      <c r="F28" s="20">
        <f t="shared" si="0"/>
        <v>240</v>
      </c>
    </row>
    <row r="29" spans="1:6" ht="20.399999999999999" customHeight="1">
      <c r="A29" s="41">
        <v>5043</v>
      </c>
      <c r="B29" s="42" t="s">
        <v>60</v>
      </c>
      <c r="C29" s="25" t="s">
        <v>61</v>
      </c>
      <c r="D29" s="42">
        <v>40</v>
      </c>
      <c r="E29" s="42">
        <v>4</v>
      </c>
      <c r="F29" s="20">
        <f t="shared" si="0"/>
        <v>160</v>
      </c>
    </row>
    <row r="30" spans="1:6" ht="20.399999999999999" customHeight="1">
      <c r="A30" s="30">
        <v>5051</v>
      </c>
      <c r="B30" s="31" t="s">
        <v>62</v>
      </c>
      <c r="C30" s="17" t="s">
        <v>63</v>
      </c>
      <c r="D30" s="26">
        <v>45</v>
      </c>
      <c r="E30" s="27">
        <v>1</v>
      </c>
      <c r="F30" s="20">
        <f t="shared" si="0"/>
        <v>45</v>
      </c>
    </row>
    <row r="31" spans="1:6" ht="20.399999999999999" customHeight="1">
      <c r="A31" s="30">
        <v>5052</v>
      </c>
      <c r="B31" s="31" t="s">
        <v>64</v>
      </c>
      <c r="C31" s="34" t="s">
        <v>65</v>
      </c>
      <c r="D31" s="26">
        <v>45</v>
      </c>
      <c r="E31" s="27">
        <v>5</v>
      </c>
      <c r="F31" s="20">
        <f t="shared" si="0"/>
        <v>225</v>
      </c>
    </row>
    <row r="32" spans="1:6" ht="20.399999999999999" customHeight="1">
      <c r="A32" s="23">
        <v>5057</v>
      </c>
      <c r="B32" s="24" t="s">
        <v>66</v>
      </c>
      <c r="C32" s="17" t="s">
        <v>67</v>
      </c>
      <c r="D32" s="26">
        <v>40</v>
      </c>
      <c r="E32" s="27">
        <v>2</v>
      </c>
      <c r="F32" s="20">
        <f t="shared" si="0"/>
        <v>80</v>
      </c>
    </row>
    <row r="33" spans="1:6" ht="20.399999999999999" customHeight="1">
      <c r="A33" s="23">
        <v>5058</v>
      </c>
      <c r="B33" s="24" t="s">
        <v>68</v>
      </c>
      <c r="C33" s="25" t="s">
        <v>69</v>
      </c>
      <c r="D33" s="26">
        <v>55</v>
      </c>
      <c r="E33" s="27">
        <v>2</v>
      </c>
      <c r="F33" s="20">
        <f t="shared" si="0"/>
        <v>110</v>
      </c>
    </row>
    <row r="34" spans="1:6" ht="20.399999999999999" customHeight="1">
      <c r="A34" s="23">
        <v>5060</v>
      </c>
      <c r="B34" s="24" t="s">
        <v>70</v>
      </c>
      <c r="C34" s="17" t="s">
        <v>71</v>
      </c>
      <c r="D34" s="26">
        <v>40</v>
      </c>
      <c r="E34" s="27">
        <v>15</v>
      </c>
      <c r="F34" s="20">
        <f t="shared" si="0"/>
        <v>600</v>
      </c>
    </row>
    <row r="35" spans="1:6" ht="20.399999999999999" customHeight="1">
      <c r="A35" s="23">
        <v>5061</v>
      </c>
      <c r="B35" s="33" t="s">
        <v>72</v>
      </c>
      <c r="C35" s="34" t="s">
        <v>73</v>
      </c>
      <c r="D35" s="26">
        <v>80</v>
      </c>
      <c r="E35" s="27">
        <v>5</v>
      </c>
      <c r="F35" s="20">
        <f t="shared" si="0"/>
        <v>400</v>
      </c>
    </row>
    <row r="36" spans="1:6" ht="20.399999999999999" customHeight="1">
      <c r="A36" s="30">
        <v>5062</v>
      </c>
      <c r="B36" s="31" t="s">
        <v>74</v>
      </c>
      <c r="C36" s="17" t="s">
        <v>75</v>
      </c>
      <c r="D36" s="26">
        <v>45</v>
      </c>
      <c r="E36" s="27">
        <v>15</v>
      </c>
      <c r="F36" s="20">
        <f t="shared" si="0"/>
        <v>675</v>
      </c>
    </row>
    <row r="37" spans="1:6" ht="20.399999999999999" customHeight="1">
      <c r="A37" s="23">
        <v>5070</v>
      </c>
      <c r="B37" s="24" t="s">
        <v>76</v>
      </c>
      <c r="C37" s="25" t="s">
        <v>77</v>
      </c>
      <c r="D37" s="26">
        <v>40</v>
      </c>
      <c r="E37" s="27">
        <v>70</v>
      </c>
      <c r="F37" s="20">
        <f t="shared" si="0"/>
        <v>2800</v>
      </c>
    </row>
    <row r="38" spans="1:6" ht="20.399999999999999" customHeight="1">
      <c r="A38" s="23">
        <v>5073</v>
      </c>
      <c r="B38" s="24" t="s">
        <v>78</v>
      </c>
      <c r="C38" s="17" t="s">
        <v>79</v>
      </c>
      <c r="D38" s="26">
        <v>55</v>
      </c>
      <c r="E38" s="27">
        <v>5</v>
      </c>
      <c r="F38" s="20">
        <f t="shared" si="0"/>
        <v>275</v>
      </c>
    </row>
    <row r="39" spans="1:6" ht="20.399999999999999" customHeight="1">
      <c r="A39" s="23">
        <v>5074</v>
      </c>
      <c r="B39" s="24" t="s">
        <v>80</v>
      </c>
      <c r="C39" s="25" t="s">
        <v>81</v>
      </c>
      <c r="D39" s="26">
        <v>40</v>
      </c>
      <c r="E39" s="27">
        <v>12</v>
      </c>
      <c r="F39" s="20">
        <f t="shared" si="0"/>
        <v>480</v>
      </c>
    </row>
    <row r="40" spans="1:6" ht="20.399999999999999" customHeight="1">
      <c r="A40" s="23">
        <v>5075</v>
      </c>
      <c r="B40" s="24" t="s">
        <v>82</v>
      </c>
      <c r="C40" s="17" t="s">
        <v>83</v>
      </c>
      <c r="D40" s="26">
        <v>40</v>
      </c>
      <c r="E40" s="27">
        <v>23</v>
      </c>
      <c r="F40" s="20">
        <f t="shared" si="0"/>
        <v>920</v>
      </c>
    </row>
    <row r="41" spans="1:6" ht="20.399999999999999" customHeight="1">
      <c r="A41" s="23">
        <v>5076</v>
      </c>
      <c r="B41" s="24" t="s">
        <v>84</v>
      </c>
      <c r="C41" s="25" t="s">
        <v>85</v>
      </c>
      <c r="D41" s="26">
        <v>55</v>
      </c>
      <c r="E41" s="27">
        <v>6</v>
      </c>
      <c r="F41" s="20">
        <f t="shared" si="0"/>
        <v>330</v>
      </c>
    </row>
    <row r="42" spans="1:6" ht="20.399999999999999" customHeight="1">
      <c r="A42" s="23">
        <v>5078</v>
      </c>
      <c r="B42" s="24" t="s">
        <v>86</v>
      </c>
      <c r="C42" s="17" t="s">
        <v>87</v>
      </c>
      <c r="D42" s="26">
        <v>55</v>
      </c>
      <c r="E42" s="27">
        <v>10</v>
      </c>
      <c r="F42" s="20">
        <f t="shared" si="0"/>
        <v>550</v>
      </c>
    </row>
    <row r="43" spans="1:6" ht="20.399999999999999" customHeight="1">
      <c r="A43" s="23">
        <v>5079</v>
      </c>
      <c r="B43" s="24" t="s">
        <v>88</v>
      </c>
      <c r="C43" s="25" t="s">
        <v>89</v>
      </c>
      <c r="D43" s="26">
        <v>40</v>
      </c>
      <c r="E43" s="27">
        <v>11</v>
      </c>
      <c r="F43" s="20">
        <f t="shared" si="0"/>
        <v>440</v>
      </c>
    </row>
    <row r="44" spans="1:6" ht="20.399999999999999" customHeight="1">
      <c r="A44" s="35">
        <v>5088</v>
      </c>
      <c r="B44" s="36" t="s">
        <v>90</v>
      </c>
      <c r="C44" s="17" t="s">
        <v>91</v>
      </c>
      <c r="D44" s="37">
        <v>40</v>
      </c>
      <c r="E44" s="38">
        <v>2</v>
      </c>
      <c r="F44" s="20">
        <f t="shared" si="0"/>
        <v>80</v>
      </c>
    </row>
    <row r="45" spans="1:6" ht="20.399999999999999" customHeight="1">
      <c r="A45" s="23">
        <v>5089</v>
      </c>
      <c r="B45" s="24" t="s">
        <v>92</v>
      </c>
      <c r="C45" s="25" t="s">
        <v>93</v>
      </c>
      <c r="D45" s="26">
        <v>40</v>
      </c>
      <c r="E45" s="27">
        <v>10</v>
      </c>
      <c r="F45" s="20">
        <f t="shared" si="0"/>
        <v>400</v>
      </c>
    </row>
    <row r="46" spans="1:6" ht="20.399999999999999" customHeight="1">
      <c r="A46" s="23">
        <v>5090</v>
      </c>
      <c r="B46" s="24" t="s">
        <v>94</v>
      </c>
      <c r="C46" s="17" t="s">
        <v>95</v>
      </c>
      <c r="D46" s="26">
        <v>25</v>
      </c>
      <c r="E46" s="27">
        <v>12</v>
      </c>
      <c r="F46" s="20">
        <f t="shared" si="0"/>
        <v>300</v>
      </c>
    </row>
    <row r="47" spans="1:6" ht="20.399999999999999" customHeight="1">
      <c r="A47" s="23">
        <v>5092</v>
      </c>
      <c r="B47" s="24" t="s">
        <v>96</v>
      </c>
      <c r="C47" s="44" t="s">
        <v>97</v>
      </c>
      <c r="D47" s="26">
        <v>100</v>
      </c>
      <c r="E47" s="27">
        <v>1</v>
      </c>
      <c r="F47" s="20">
        <f t="shared" si="0"/>
        <v>100</v>
      </c>
    </row>
    <row r="48" spans="1:6" ht="20.399999999999999" customHeight="1">
      <c r="A48" s="23">
        <v>5093</v>
      </c>
      <c r="B48" s="24" t="s">
        <v>98</v>
      </c>
      <c r="C48" s="17" t="s">
        <v>99</v>
      </c>
      <c r="D48" s="26">
        <v>25</v>
      </c>
      <c r="E48" s="27">
        <v>12</v>
      </c>
      <c r="F48" s="20">
        <f t="shared" si="0"/>
        <v>300</v>
      </c>
    </row>
    <row r="49" spans="1:6" ht="20.399999999999999" customHeight="1">
      <c r="A49" s="23">
        <v>5094</v>
      </c>
      <c r="B49" s="33" t="s">
        <v>100</v>
      </c>
      <c r="C49" s="34" t="s">
        <v>101</v>
      </c>
      <c r="D49" s="26">
        <v>80</v>
      </c>
      <c r="E49" s="27">
        <v>9</v>
      </c>
      <c r="F49" s="20">
        <f t="shared" si="0"/>
        <v>720</v>
      </c>
    </row>
    <row r="50" spans="1:6" ht="20.399999999999999" customHeight="1">
      <c r="A50" s="23">
        <v>5095</v>
      </c>
      <c r="B50" s="24" t="s">
        <v>102</v>
      </c>
      <c r="C50" s="17" t="s">
        <v>103</v>
      </c>
      <c r="D50" s="26">
        <v>40</v>
      </c>
      <c r="E50" s="27">
        <v>5</v>
      </c>
      <c r="F50" s="20">
        <f t="shared" si="0"/>
        <v>200</v>
      </c>
    </row>
    <row r="51" spans="1:6" ht="20.399999999999999" customHeight="1">
      <c r="A51" s="23">
        <v>5096</v>
      </c>
      <c r="B51" s="24" t="s">
        <v>104</v>
      </c>
      <c r="C51" s="25" t="s">
        <v>105</v>
      </c>
      <c r="D51" s="26">
        <v>40</v>
      </c>
      <c r="E51" s="27">
        <v>14</v>
      </c>
      <c r="F51" s="20">
        <f t="shared" si="0"/>
        <v>560</v>
      </c>
    </row>
    <row r="52" spans="1:6" ht="20.399999999999999" customHeight="1">
      <c r="A52" s="30">
        <v>5097</v>
      </c>
      <c r="B52" s="31" t="s">
        <v>106</v>
      </c>
      <c r="C52" s="17" t="s">
        <v>107</v>
      </c>
      <c r="D52" s="26">
        <v>45</v>
      </c>
      <c r="E52" s="27">
        <v>1</v>
      </c>
      <c r="F52" s="20">
        <f t="shared" si="0"/>
        <v>45</v>
      </c>
    </row>
    <row r="53" spans="1:6" ht="20.399999999999999" customHeight="1">
      <c r="A53" s="35">
        <v>5099</v>
      </c>
      <c r="B53" s="36" t="s">
        <v>108</v>
      </c>
      <c r="C53" s="25" t="s">
        <v>109</v>
      </c>
      <c r="D53" s="37">
        <v>40</v>
      </c>
      <c r="E53" s="38">
        <v>10</v>
      </c>
      <c r="F53" s="20">
        <f t="shared" si="0"/>
        <v>400</v>
      </c>
    </row>
    <row r="54" spans="1:6" ht="20.399999999999999" customHeight="1">
      <c r="A54" s="41">
        <v>5100</v>
      </c>
      <c r="B54" s="42" t="s">
        <v>110</v>
      </c>
      <c r="C54" s="17" t="s">
        <v>111</v>
      </c>
      <c r="D54" s="42">
        <v>40</v>
      </c>
      <c r="E54" s="42">
        <v>1</v>
      </c>
      <c r="F54" s="20">
        <f t="shared" si="0"/>
        <v>40</v>
      </c>
    </row>
    <row r="55" spans="1:6" ht="20.399999999999999" customHeight="1">
      <c r="A55" s="23">
        <v>5102</v>
      </c>
      <c r="B55" s="24" t="s">
        <v>112</v>
      </c>
      <c r="C55" s="25" t="s">
        <v>113</v>
      </c>
      <c r="D55" s="26">
        <v>40</v>
      </c>
      <c r="E55" s="27">
        <v>5</v>
      </c>
      <c r="F55" s="20">
        <f t="shared" si="0"/>
        <v>200</v>
      </c>
    </row>
    <row r="56" spans="1:6" ht="20.399999999999999" customHeight="1">
      <c r="A56" s="35">
        <v>5104</v>
      </c>
      <c r="B56" s="45" t="s">
        <v>114</v>
      </c>
      <c r="C56" s="17" t="s">
        <v>115</v>
      </c>
      <c r="D56" s="37">
        <v>40</v>
      </c>
      <c r="E56" s="38">
        <v>1</v>
      </c>
      <c r="F56" s="20">
        <f t="shared" si="0"/>
        <v>40</v>
      </c>
    </row>
    <row r="57" spans="1:6" ht="20.399999999999999" customHeight="1">
      <c r="A57" s="23">
        <v>5105</v>
      </c>
      <c r="B57" s="24" t="s">
        <v>116</v>
      </c>
      <c r="C57" s="25" t="s">
        <v>117</v>
      </c>
      <c r="D57" s="26">
        <v>25</v>
      </c>
      <c r="E57" s="27">
        <v>3</v>
      </c>
      <c r="F57" s="20">
        <f t="shared" si="0"/>
        <v>75</v>
      </c>
    </row>
    <row r="58" spans="1:6" ht="20.399999999999999" customHeight="1">
      <c r="A58" s="23">
        <v>5106</v>
      </c>
      <c r="B58" s="33" t="s">
        <v>118</v>
      </c>
      <c r="C58" s="34" t="s">
        <v>119</v>
      </c>
      <c r="D58" s="26">
        <v>80</v>
      </c>
      <c r="E58" s="27">
        <v>5</v>
      </c>
      <c r="F58" s="20">
        <f t="shared" si="0"/>
        <v>400</v>
      </c>
    </row>
    <row r="59" spans="1:6" ht="20.399999999999999" customHeight="1">
      <c r="A59" s="23">
        <v>5107</v>
      </c>
      <c r="B59" s="46" t="s">
        <v>120</v>
      </c>
      <c r="C59" s="34" t="s">
        <v>121</v>
      </c>
      <c r="D59" s="26">
        <v>80</v>
      </c>
      <c r="E59" s="27">
        <v>10</v>
      </c>
      <c r="F59" s="20">
        <f t="shared" si="0"/>
        <v>800</v>
      </c>
    </row>
    <row r="60" spans="1:6" ht="20.399999999999999" customHeight="1">
      <c r="A60" s="23">
        <v>5108</v>
      </c>
      <c r="B60" s="24" t="s">
        <v>122</v>
      </c>
      <c r="C60" s="17" t="s">
        <v>123</v>
      </c>
      <c r="D60" s="26">
        <v>40</v>
      </c>
      <c r="E60" s="27">
        <v>3</v>
      </c>
      <c r="F60" s="20">
        <f t="shared" si="0"/>
        <v>120</v>
      </c>
    </row>
    <row r="61" spans="1:6" ht="20.399999999999999" customHeight="1">
      <c r="A61" s="30">
        <v>5109</v>
      </c>
      <c r="B61" s="31" t="s">
        <v>124</v>
      </c>
      <c r="C61" s="25" t="s">
        <v>123</v>
      </c>
      <c r="D61" s="26">
        <v>45</v>
      </c>
      <c r="E61" s="27">
        <v>2</v>
      </c>
      <c r="F61" s="20">
        <f t="shared" si="0"/>
        <v>90</v>
      </c>
    </row>
    <row r="62" spans="1:6" ht="20.399999999999999" customHeight="1">
      <c r="A62" s="30">
        <v>5110</v>
      </c>
      <c r="B62" s="31" t="s">
        <v>125</v>
      </c>
      <c r="C62" s="17" t="s">
        <v>126</v>
      </c>
      <c r="D62" s="26">
        <v>45</v>
      </c>
      <c r="E62" s="27">
        <v>3</v>
      </c>
      <c r="F62" s="20">
        <f t="shared" si="0"/>
        <v>135</v>
      </c>
    </row>
    <row r="63" spans="1:6" ht="20.399999999999999" customHeight="1">
      <c r="A63" s="41">
        <v>5111</v>
      </c>
      <c r="B63" s="42" t="s">
        <v>127</v>
      </c>
      <c r="C63" s="25" t="s">
        <v>128</v>
      </c>
      <c r="D63" s="42">
        <v>40</v>
      </c>
      <c r="E63" s="42">
        <v>39</v>
      </c>
      <c r="F63" s="20">
        <f t="shared" si="0"/>
        <v>1560</v>
      </c>
    </row>
    <row r="64" spans="1:6" ht="20.399999999999999" customHeight="1">
      <c r="A64" s="23">
        <v>5118</v>
      </c>
      <c r="B64" s="24" t="s">
        <v>129</v>
      </c>
      <c r="C64" s="17" t="s">
        <v>130</v>
      </c>
      <c r="D64" s="26">
        <v>25</v>
      </c>
      <c r="E64" s="27">
        <v>4</v>
      </c>
      <c r="F64" s="20">
        <f t="shared" si="0"/>
        <v>100</v>
      </c>
    </row>
    <row r="65" spans="1:6" ht="20.399999999999999" customHeight="1">
      <c r="A65" s="23">
        <v>5122</v>
      </c>
      <c r="B65" s="24" t="s">
        <v>131</v>
      </c>
      <c r="C65" s="25" t="s">
        <v>132</v>
      </c>
      <c r="D65" s="26">
        <v>40</v>
      </c>
      <c r="E65" s="27">
        <v>10</v>
      </c>
      <c r="F65" s="20">
        <f t="shared" si="0"/>
        <v>400</v>
      </c>
    </row>
    <row r="66" spans="1:6" ht="20.399999999999999" customHeight="1" thickBot="1">
      <c r="A66" s="47">
        <v>400</v>
      </c>
      <c r="B66" s="48" t="s">
        <v>133</v>
      </c>
      <c r="C66" s="25" t="s">
        <v>134</v>
      </c>
      <c r="D66" s="48">
        <v>22</v>
      </c>
      <c r="E66" s="49">
        <v>70</v>
      </c>
      <c r="F66" s="20">
        <f t="shared" si="0"/>
        <v>1540</v>
      </c>
    </row>
    <row r="67" spans="1:6" ht="20.399999999999999" customHeight="1" thickBot="1">
      <c r="A67" s="5"/>
      <c r="B67" s="10"/>
      <c r="C67" s="11" t="s">
        <v>135</v>
      </c>
      <c r="D67" s="10"/>
      <c r="E67" s="12"/>
      <c r="F67" s="13"/>
    </row>
    <row r="68" spans="1:6" ht="20.399999999999999" customHeight="1">
      <c r="A68" s="51">
        <v>514</v>
      </c>
      <c r="B68" s="52" t="s">
        <v>136</v>
      </c>
      <c r="C68" s="25" t="s">
        <v>137</v>
      </c>
      <c r="D68" s="18">
        <v>80</v>
      </c>
      <c r="E68" s="19">
        <v>2</v>
      </c>
      <c r="F68" s="20">
        <f>D68*E68</f>
        <v>160</v>
      </c>
    </row>
    <row r="69" spans="1:6" ht="20.399999999999999" customHeight="1" thickBot="1">
      <c r="A69" s="53">
        <v>580</v>
      </c>
      <c r="B69" s="54" t="s">
        <v>138</v>
      </c>
      <c r="C69" s="17" t="s">
        <v>139</v>
      </c>
      <c r="D69" s="55">
        <v>80</v>
      </c>
      <c r="E69" s="56">
        <v>10</v>
      </c>
      <c r="F69" s="20">
        <f>D69*E69</f>
        <v>800</v>
      </c>
    </row>
    <row r="70" spans="1:6" ht="20.399999999999999" customHeight="1" thickBot="1">
      <c r="A70" s="5"/>
      <c r="B70" s="10"/>
      <c r="C70" s="58" t="s">
        <v>140</v>
      </c>
      <c r="D70" s="10"/>
      <c r="E70" s="12"/>
      <c r="F70" s="13"/>
    </row>
    <row r="71" spans="1:6" ht="20.399999999999999" customHeight="1">
      <c r="A71" s="51">
        <v>301</v>
      </c>
      <c r="B71" s="16" t="s">
        <v>141</v>
      </c>
      <c r="C71" s="25" t="s">
        <v>13</v>
      </c>
      <c r="D71" s="18">
        <v>45</v>
      </c>
      <c r="E71" s="19">
        <v>20</v>
      </c>
      <c r="F71" s="20">
        <f>D71*E71</f>
        <v>900</v>
      </c>
    </row>
    <row r="72" spans="1:6" ht="20.399999999999999" customHeight="1">
      <c r="A72" s="23">
        <v>302</v>
      </c>
      <c r="B72" s="24" t="s">
        <v>142</v>
      </c>
      <c r="C72" s="59" t="s">
        <v>143</v>
      </c>
      <c r="D72" s="26">
        <v>80</v>
      </c>
      <c r="E72" s="27">
        <v>6</v>
      </c>
      <c r="F72" s="20">
        <f t="shared" ref="F72:F94" si="1">D72*E72</f>
        <v>480</v>
      </c>
    </row>
    <row r="73" spans="1:6" ht="20.399999999999999" customHeight="1">
      <c r="A73" s="23">
        <v>303</v>
      </c>
      <c r="B73" s="24" t="s">
        <v>144</v>
      </c>
      <c r="C73" s="25" t="s">
        <v>145</v>
      </c>
      <c r="D73" s="26">
        <v>45</v>
      </c>
      <c r="E73" s="27">
        <v>50</v>
      </c>
      <c r="F73" s="20">
        <f t="shared" si="1"/>
        <v>2250</v>
      </c>
    </row>
    <row r="74" spans="1:6" ht="20.399999999999999" customHeight="1">
      <c r="A74" s="23">
        <v>310</v>
      </c>
      <c r="B74" s="24" t="s">
        <v>146</v>
      </c>
      <c r="C74" s="17" t="s">
        <v>147</v>
      </c>
      <c r="D74" s="26">
        <v>45</v>
      </c>
      <c r="E74" s="27">
        <v>40</v>
      </c>
      <c r="F74" s="20">
        <f t="shared" si="1"/>
        <v>1800</v>
      </c>
    </row>
    <row r="75" spans="1:6" ht="20.399999999999999" customHeight="1">
      <c r="A75" s="41">
        <v>313</v>
      </c>
      <c r="B75" s="42" t="s">
        <v>32</v>
      </c>
      <c r="C75" s="25" t="s">
        <v>35</v>
      </c>
      <c r="D75" s="42">
        <v>40</v>
      </c>
      <c r="E75" s="42">
        <v>5</v>
      </c>
      <c r="F75" s="20">
        <f t="shared" si="1"/>
        <v>200</v>
      </c>
    </row>
    <row r="76" spans="1:6" ht="20.399999999999999" customHeight="1">
      <c r="A76" s="41">
        <v>320</v>
      </c>
      <c r="B76" s="42" t="s">
        <v>148</v>
      </c>
      <c r="C76" s="17" t="s">
        <v>149</v>
      </c>
      <c r="D76" s="42">
        <v>40</v>
      </c>
      <c r="E76" s="42">
        <v>5</v>
      </c>
      <c r="F76" s="20">
        <f t="shared" si="1"/>
        <v>200</v>
      </c>
    </row>
    <row r="77" spans="1:6" ht="20.399999999999999" customHeight="1">
      <c r="A77" s="23">
        <v>323</v>
      </c>
      <c r="B77" s="24" t="s">
        <v>150</v>
      </c>
      <c r="C77" s="25" t="s">
        <v>151</v>
      </c>
      <c r="D77" s="26">
        <v>55</v>
      </c>
      <c r="E77" s="27">
        <v>15</v>
      </c>
      <c r="F77" s="20">
        <f t="shared" si="1"/>
        <v>825</v>
      </c>
    </row>
    <row r="78" spans="1:6" ht="20.399999999999999" customHeight="1">
      <c r="A78" s="41">
        <v>328</v>
      </c>
      <c r="B78" s="42" t="s">
        <v>152</v>
      </c>
      <c r="C78" s="17" t="s">
        <v>153</v>
      </c>
      <c r="D78" s="42">
        <v>40</v>
      </c>
      <c r="E78" s="42">
        <v>48</v>
      </c>
      <c r="F78" s="20">
        <f t="shared" si="1"/>
        <v>1920</v>
      </c>
    </row>
    <row r="79" spans="1:6" ht="20.399999999999999" customHeight="1">
      <c r="A79" s="23">
        <v>337</v>
      </c>
      <c r="B79" s="24" t="s">
        <v>154</v>
      </c>
      <c r="C79" s="25" t="s">
        <v>155</v>
      </c>
      <c r="D79" s="26">
        <v>55</v>
      </c>
      <c r="E79" s="27">
        <v>58</v>
      </c>
      <c r="F79" s="20">
        <f t="shared" si="1"/>
        <v>3190</v>
      </c>
    </row>
    <row r="80" spans="1:6" ht="20.399999999999999" customHeight="1">
      <c r="A80" s="41">
        <v>340</v>
      </c>
      <c r="B80" s="42" t="s">
        <v>156</v>
      </c>
      <c r="C80" s="17" t="s">
        <v>61</v>
      </c>
      <c r="D80" s="42">
        <v>40</v>
      </c>
      <c r="E80" s="42">
        <v>58</v>
      </c>
      <c r="F80" s="20">
        <f t="shared" si="1"/>
        <v>2320</v>
      </c>
    </row>
    <row r="81" spans="1:6" ht="20.399999999999999" customHeight="1">
      <c r="A81" s="41">
        <v>342</v>
      </c>
      <c r="B81" s="42" t="s">
        <v>157</v>
      </c>
      <c r="C81" s="25" t="s">
        <v>158</v>
      </c>
      <c r="D81" s="42">
        <v>40</v>
      </c>
      <c r="E81" s="42">
        <v>5</v>
      </c>
      <c r="F81" s="20">
        <f t="shared" si="1"/>
        <v>200</v>
      </c>
    </row>
    <row r="82" spans="1:6" ht="20.399999999999999" customHeight="1">
      <c r="A82" s="35">
        <v>346</v>
      </c>
      <c r="B82" s="36" t="s">
        <v>159</v>
      </c>
      <c r="C82" s="17" t="s">
        <v>160</v>
      </c>
      <c r="D82" s="37">
        <v>45</v>
      </c>
      <c r="E82" s="38">
        <v>10</v>
      </c>
      <c r="F82" s="20">
        <f t="shared" si="1"/>
        <v>450</v>
      </c>
    </row>
    <row r="83" spans="1:6" ht="20.399999999999999" customHeight="1">
      <c r="A83" s="23">
        <v>350</v>
      </c>
      <c r="B83" s="24" t="s">
        <v>161</v>
      </c>
      <c r="C83" s="25" t="s">
        <v>162</v>
      </c>
      <c r="D83" s="26">
        <v>45</v>
      </c>
      <c r="E83" s="27">
        <v>40</v>
      </c>
      <c r="F83" s="20">
        <f t="shared" si="1"/>
        <v>1800</v>
      </c>
    </row>
    <row r="84" spans="1:6" ht="20.399999999999999" customHeight="1">
      <c r="A84" s="41">
        <v>357</v>
      </c>
      <c r="B84" s="42" t="s">
        <v>163</v>
      </c>
      <c r="C84" s="17" t="s">
        <v>164</v>
      </c>
      <c r="D84" s="42">
        <v>45</v>
      </c>
      <c r="E84" s="42">
        <v>2</v>
      </c>
      <c r="F84" s="20">
        <f t="shared" si="1"/>
        <v>90</v>
      </c>
    </row>
    <row r="85" spans="1:6" ht="20.399999999999999" customHeight="1">
      <c r="A85" s="23">
        <v>358</v>
      </c>
      <c r="B85" s="24" t="s">
        <v>165</v>
      </c>
      <c r="C85" s="25" t="s">
        <v>105</v>
      </c>
      <c r="D85" s="26">
        <v>45</v>
      </c>
      <c r="E85" s="27">
        <v>10</v>
      </c>
      <c r="F85" s="20">
        <f t="shared" si="1"/>
        <v>450</v>
      </c>
    </row>
    <row r="86" spans="1:6" ht="20.399999999999999" customHeight="1">
      <c r="A86" s="41">
        <v>359</v>
      </c>
      <c r="B86" s="42" t="s">
        <v>166</v>
      </c>
      <c r="C86" s="17" t="s">
        <v>167</v>
      </c>
      <c r="D86" s="42">
        <v>40</v>
      </c>
      <c r="E86" s="42">
        <v>5</v>
      </c>
      <c r="F86" s="20">
        <f t="shared" si="1"/>
        <v>200</v>
      </c>
    </row>
    <row r="87" spans="1:6" ht="20.399999999999999" customHeight="1">
      <c r="A87" s="41">
        <v>360</v>
      </c>
      <c r="B87" s="42" t="s">
        <v>168</v>
      </c>
      <c r="C87" s="25" t="s">
        <v>71</v>
      </c>
      <c r="D87" s="42">
        <v>45</v>
      </c>
      <c r="E87" s="27">
        <v>15</v>
      </c>
      <c r="F87" s="20">
        <f t="shared" si="1"/>
        <v>675</v>
      </c>
    </row>
    <row r="88" spans="1:6" ht="20.399999999999999" customHeight="1">
      <c r="A88" s="41">
        <v>361</v>
      </c>
      <c r="B88" s="42" t="s">
        <v>169</v>
      </c>
      <c r="C88" s="17" t="s">
        <v>170</v>
      </c>
      <c r="D88" s="42">
        <v>45</v>
      </c>
      <c r="E88" s="42">
        <v>15</v>
      </c>
      <c r="F88" s="20">
        <f t="shared" si="1"/>
        <v>675</v>
      </c>
    </row>
    <row r="89" spans="1:6" ht="20.399999999999999" customHeight="1">
      <c r="A89" s="23">
        <v>370</v>
      </c>
      <c r="B89" s="24" t="s">
        <v>171</v>
      </c>
      <c r="C89" s="25" t="s">
        <v>77</v>
      </c>
      <c r="D89" s="26">
        <v>45</v>
      </c>
      <c r="E89" s="27">
        <v>70</v>
      </c>
      <c r="F89" s="20">
        <f t="shared" si="1"/>
        <v>3150</v>
      </c>
    </row>
    <row r="90" spans="1:6" ht="20.399999999999999" customHeight="1">
      <c r="A90" s="23">
        <v>373</v>
      </c>
      <c r="B90" s="24" t="s">
        <v>78</v>
      </c>
      <c r="C90" s="17" t="s">
        <v>172</v>
      </c>
      <c r="D90" s="26">
        <v>80</v>
      </c>
      <c r="E90" s="27">
        <v>3</v>
      </c>
      <c r="F90" s="20">
        <f t="shared" si="1"/>
        <v>240</v>
      </c>
    </row>
    <row r="91" spans="1:6" ht="20.399999999999999" customHeight="1">
      <c r="A91" s="41">
        <v>390</v>
      </c>
      <c r="B91" s="42" t="s">
        <v>173</v>
      </c>
      <c r="C91" s="25" t="s">
        <v>174</v>
      </c>
      <c r="D91" s="42">
        <v>25</v>
      </c>
      <c r="E91" s="42">
        <v>20</v>
      </c>
      <c r="F91" s="20">
        <f t="shared" si="1"/>
        <v>500</v>
      </c>
    </row>
    <row r="92" spans="1:6" ht="20.399999999999999" customHeight="1">
      <c r="A92" s="23">
        <v>395</v>
      </c>
      <c r="B92" s="24" t="s">
        <v>175</v>
      </c>
      <c r="C92" s="17" t="s">
        <v>176</v>
      </c>
      <c r="D92" s="26">
        <v>40</v>
      </c>
      <c r="E92" s="27">
        <v>20</v>
      </c>
      <c r="F92" s="20">
        <f t="shared" si="1"/>
        <v>800</v>
      </c>
    </row>
    <row r="93" spans="1:6" ht="20.399999999999999" customHeight="1">
      <c r="A93" s="53">
        <v>396</v>
      </c>
      <c r="B93" s="60" t="s">
        <v>177</v>
      </c>
      <c r="C93" s="25" t="s">
        <v>178</v>
      </c>
      <c r="D93" s="55">
        <v>55</v>
      </c>
      <c r="E93" s="56">
        <v>20</v>
      </c>
      <c r="F93" s="20">
        <f t="shared" si="1"/>
        <v>1100</v>
      </c>
    </row>
    <row r="94" spans="1:6" ht="20.399999999999999" customHeight="1" thickBot="1">
      <c r="A94" s="61">
        <v>910</v>
      </c>
      <c r="B94" s="62" t="s">
        <v>179</v>
      </c>
      <c r="C94" s="25" t="s">
        <v>180</v>
      </c>
      <c r="D94" s="62">
        <v>22</v>
      </c>
      <c r="E94" s="62">
        <v>142</v>
      </c>
      <c r="F94" s="20">
        <f t="shared" si="1"/>
        <v>3124</v>
      </c>
    </row>
    <row r="95" spans="1:6" ht="20.399999999999999" customHeight="1" thickBot="1">
      <c r="A95" s="5"/>
      <c r="B95" s="10"/>
      <c r="C95" s="11" t="s">
        <v>181</v>
      </c>
      <c r="D95" s="10"/>
      <c r="E95" s="12"/>
      <c r="F95" s="13"/>
    </row>
    <row r="96" spans="1:6" ht="20.399999999999999" customHeight="1">
      <c r="A96" s="51">
        <v>607</v>
      </c>
      <c r="B96" s="16" t="s">
        <v>182</v>
      </c>
      <c r="C96" s="59" t="s">
        <v>183</v>
      </c>
      <c r="D96" s="18">
        <v>80</v>
      </c>
      <c r="E96" s="19">
        <v>10</v>
      </c>
      <c r="F96" s="20">
        <f>D96*E96</f>
        <v>800</v>
      </c>
    </row>
    <row r="97" spans="1:6" ht="20.399999999999999" customHeight="1">
      <c r="A97" s="23">
        <v>616</v>
      </c>
      <c r="B97" s="33" t="s">
        <v>184</v>
      </c>
      <c r="C97" s="64" t="s">
        <v>185</v>
      </c>
      <c r="D97" s="26">
        <v>80</v>
      </c>
      <c r="E97" s="27">
        <v>28</v>
      </c>
      <c r="F97" s="20">
        <f t="shared" ref="F97:F100" si="2">D97*E97</f>
        <v>2240</v>
      </c>
    </row>
    <row r="98" spans="1:6" ht="20.399999999999999" customHeight="1">
      <c r="A98" s="23">
        <v>640</v>
      </c>
      <c r="B98" s="24" t="s">
        <v>186</v>
      </c>
      <c r="C98" s="17" t="s">
        <v>187</v>
      </c>
      <c r="D98" s="26">
        <v>55</v>
      </c>
      <c r="E98" s="27">
        <v>40</v>
      </c>
      <c r="F98" s="20">
        <f t="shared" si="2"/>
        <v>2200</v>
      </c>
    </row>
    <row r="99" spans="1:6" ht="20.399999999999999" customHeight="1">
      <c r="A99" s="23">
        <v>649</v>
      </c>
      <c r="B99" s="46" t="s">
        <v>188</v>
      </c>
      <c r="C99" s="64" t="s">
        <v>185</v>
      </c>
      <c r="D99" s="26">
        <v>80</v>
      </c>
      <c r="E99" s="27">
        <v>42</v>
      </c>
      <c r="F99" s="20">
        <f t="shared" si="2"/>
        <v>3360</v>
      </c>
    </row>
    <row r="100" spans="1:6" ht="20.399999999999999" customHeight="1">
      <c r="A100" s="23">
        <v>680</v>
      </c>
      <c r="B100" s="24" t="s">
        <v>189</v>
      </c>
      <c r="C100" s="59" t="s">
        <v>139</v>
      </c>
      <c r="D100" s="26">
        <v>80</v>
      </c>
      <c r="E100" s="27">
        <v>10</v>
      </c>
      <c r="F100" s="20">
        <f t="shared" si="2"/>
        <v>800</v>
      </c>
    </row>
    <row r="101" spans="1:6" ht="20.399999999999999" customHeight="1">
      <c r="A101" s="65"/>
      <c r="B101" s="66"/>
      <c r="C101" s="153" t="s">
        <v>190</v>
      </c>
      <c r="D101" s="153"/>
      <c r="E101" s="72"/>
      <c r="F101" s="72"/>
    </row>
    <row r="102" spans="1:6" ht="20.399999999999999" customHeight="1">
      <c r="A102" s="30">
        <v>405</v>
      </c>
      <c r="B102" s="31" t="s">
        <v>191</v>
      </c>
      <c r="C102" s="17" t="s">
        <v>192</v>
      </c>
      <c r="D102" s="26">
        <v>25</v>
      </c>
      <c r="E102" s="27">
        <v>5</v>
      </c>
      <c r="F102" s="69">
        <f>D102*E102</f>
        <v>125</v>
      </c>
    </row>
    <row r="103" spans="1:6" ht="20.399999999999999" customHeight="1">
      <c r="A103" s="30">
        <v>435</v>
      </c>
      <c r="B103" s="31" t="s">
        <v>193</v>
      </c>
      <c r="C103" s="25" t="s">
        <v>194</v>
      </c>
      <c r="D103" s="26">
        <v>10</v>
      </c>
      <c r="E103" s="27">
        <v>13</v>
      </c>
      <c r="F103" s="69">
        <f t="shared" ref="F103:F107" si="3">D103*E103</f>
        <v>130</v>
      </c>
    </row>
    <row r="104" spans="1:6" ht="20.399999999999999" customHeight="1">
      <c r="A104" s="23">
        <v>850</v>
      </c>
      <c r="B104" s="24" t="s">
        <v>195</v>
      </c>
      <c r="C104" s="17" t="s">
        <v>196</v>
      </c>
      <c r="D104" s="26">
        <v>15</v>
      </c>
      <c r="E104" s="27">
        <v>20</v>
      </c>
      <c r="F104" s="69">
        <f t="shared" si="3"/>
        <v>300</v>
      </c>
    </row>
    <row r="105" spans="1:6" ht="20.399999999999999" customHeight="1">
      <c r="A105" s="23">
        <v>865</v>
      </c>
      <c r="B105" s="24" t="s">
        <v>197</v>
      </c>
      <c r="C105" s="25" t="s">
        <v>198</v>
      </c>
      <c r="D105" s="26">
        <v>20</v>
      </c>
      <c r="E105" s="27">
        <v>60</v>
      </c>
      <c r="F105" s="69">
        <f t="shared" si="3"/>
        <v>1200</v>
      </c>
    </row>
    <row r="106" spans="1:6" ht="20.399999999999999" customHeight="1">
      <c r="A106" s="23">
        <v>870</v>
      </c>
      <c r="B106" s="24" t="s">
        <v>199</v>
      </c>
      <c r="C106" s="17" t="s">
        <v>200</v>
      </c>
      <c r="D106" s="26">
        <v>200</v>
      </c>
      <c r="E106" s="27">
        <v>1</v>
      </c>
      <c r="F106" s="69">
        <f t="shared" si="3"/>
        <v>200</v>
      </c>
    </row>
    <row r="107" spans="1:6" ht="20.399999999999999" customHeight="1">
      <c r="A107" s="23">
        <v>1025</v>
      </c>
      <c r="B107" s="24" t="s">
        <v>201</v>
      </c>
      <c r="C107" s="17" t="s">
        <v>202</v>
      </c>
      <c r="D107" s="26">
        <v>25</v>
      </c>
      <c r="E107" s="27">
        <v>3</v>
      </c>
      <c r="F107" s="69">
        <f t="shared" si="3"/>
        <v>75</v>
      </c>
    </row>
    <row r="108" spans="1:6" ht="20.399999999999999" customHeight="1" thickBot="1"/>
    <row r="109" spans="1:6" ht="20.399999999999999" customHeight="1" thickBot="1">
      <c r="B109" s="1"/>
      <c r="C109" s="2" t="s">
        <v>0</v>
      </c>
    </row>
    <row r="110" spans="1:6" ht="20.399999999999999" customHeight="1" thickBot="1">
      <c r="B110" s="1"/>
    </row>
    <row r="111" spans="1:6" ht="20.399999999999999" customHeight="1" thickBot="1">
      <c r="A111" s="4" t="s">
        <v>1</v>
      </c>
      <c r="B111" s="5" t="s">
        <v>2</v>
      </c>
      <c r="C111" s="4" t="s">
        <v>3</v>
      </c>
      <c r="D111" s="6" t="s">
        <v>339</v>
      </c>
      <c r="E111" s="7" t="s">
        <v>336</v>
      </c>
      <c r="F111" s="8" t="s">
        <v>337</v>
      </c>
    </row>
    <row r="112" spans="1:6" ht="20.399999999999999" customHeight="1" thickBot="1">
      <c r="A112" s="5"/>
      <c r="B112" s="10"/>
      <c r="C112" s="138" t="s">
        <v>334</v>
      </c>
      <c r="D112" s="10"/>
      <c r="E112" s="12"/>
      <c r="F112" s="13"/>
    </row>
    <row r="113" spans="1:6" ht="20.399999999999999" customHeight="1">
      <c r="A113" s="15">
        <v>5000</v>
      </c>
      <c r="B113" s="16" t="s">
        <v>10</v>
      </c>
      <c r="C113" t="s">
        <v>248</v>
      </c>
      <c r="D113" s="18">
        <v>40</v>
      </c>
      <c r="E113" s="19">
        <v>5</v>
      </c>
      <c r="F113" s="20">
        <f t="shared" ref="F113:F175" si="4">D113*E113</f>
        <v>200</v>
      </c>
    </row>
    <row r="114" spans="1:6" ht="20.399999999999999" customHeight="1">
      <c r="A114" s="23">
        <v>5001</v>
      </c>
      <c r="B114" s="24" t="s">
        <v>12</v>
      </c>
      <c r="C114" t="s">
        <v>249</v>
      </c>
      <c r="D114" s="26">
        <v>65</v>
      </c>
      <c r="E114" s="27">
        <v>6</v>
      </c>
      <c r="F114" s="20">
        <f t="shared" si="4"/>
        <v>390</v>
      </c>
    </row>
    <row r="115" spans="1:6" ht="20.399999999999999" customHeight="1">
      <c r="A115" s="23">
        <v>5002</v>
      </c>
      <c r="B115" s="24" t="s">
        <v>14</v>
      </c>
      <c r="C115" t="s">
        <v>250</v>
      </c>
      <c r="D115" s="26">
        <v>40</v>
      </c>
      <c r="E115" s="27">
        <v>5</v>
      </c>
      <c r="F115" s="20">
        <f t="shared" si="4"/>
        <v>200</v>
      </c>
    </row>
    <row r="116" spans="1:6" ht="20.399999999999999" customHeight="1">
      <c r="A116" s="29">
        <v>5003</v>
      </c>
      <c r="B116" s="24" t="s">
        <v>16</v>
      </c>
      <c r="C116" t="s">
        <v>251</v>
      </c>
      <c r="D116" s="26">
        <v>40</v>
      </c>
      <c r="E116" s="27">
        <v>35</v>
      </c>
      <c r="F116" s="20">
        <f t="shared" si="4"/>
        <v>1400</v>
      </c>
    </row>
    <row r="117" spans="1:6" ht="20.399999999999999" customHeight="1">
      <c r="A117" s="30">
        <v>5006</v>
      </c>
      <c r="B117" s="31" t="s">
        <v>18</v>
      </c>
      <c r="C117" t="s">
        <v>252</v>
      </c>
      <c r="D117" s="26">
        <v>45</v>
      </c>
      <c r="E117" s="27">
        <v>10</v>
      </c>
      <c r="F117" s="20">
        <f t="shared" si="4"/>
        <v>450</v>
      </c>
    </row>
    <row r="118" spans="1:6" ht="20.399999999999999" customHeight="1">
      <c r="A118" s="23">
        <v>5007</v>
      </c>
      <c r="B118" s="24" t="s">
        <v>20</v>
      </c>
      <c r="C118" t="s">
        <v>253</v>
      </c>
      <c r="D118" s="26">
        <v>40</v>
      </c>
      <c r="E118" s="27">
        <v>15</v>
      </c>
      <c r="F118" s="20">
        <f t="shared" si="4"/>
        <v>600</v>
      </c>
    </row>
    <row r="119" spans="1:6" ht="20.399999999999999" customHeight="1">
      <c r="A119" s="23">
        <v>5008</v>
      </c>
      <c r="B119" s="24" t="s">
        <v>22</v>
      </c>
      <c r="C119" t="s">
        <v>254</v>
      </c>
      <c r="D119" s="26">
        <v>40</v>
      </c>
      <c r="E119" s="27">
        <v>3</v>
      </c>
      <c r="F119" s="20">
        <f t="shared" si="4"/>
        <v>120</v>
      </c>
    </row>
    <row r="120" spans="1:6" ht="20.399999999999999" customHeight="1">
      <c r="A120" s="23">
        <v>5009</v>
      </c>
      <c r="B120" s="24" t="s">
        <v>24</v>
      </c>
      <c r="C120" t="s">
        <v>255</v>
      </c>
      <c r="D120" s="26">
        <v>55</v>
      </c>
      <c r="E120" s="27">
        <v>8</v>
      </c>
      <c r="F120" s="20">
        <f t="shared" si="4"/>
        <v>440</v>
      </c>
    </row>
    <row r="121" spans="1:6" ht="20.399999999999999" customHeight="1">
      <c r="A121" s="30">
        <v>5010</v>
      </c>
      <c r="B121" s="31" t="s">
        <v>26</v>
      </c>
      <c r="C121" t="s">
        <v>256</v>
      </c>
      <c r="D121" s="26">
        <v>45</v>
      </c>
      <c r="E121" s="27">
        <v>15</v>
      </c>
      <c r="F121" s="20">
        <f t="shared" si="4"/>
        <v>675</v>
      </c>
    </row>
    <row r="122" spans="1:6" ht="20.399999999999999" customHeight="1">
      <c r="A122" s="30">
        <v>5011</v>
      </c>
      <c r="B122" s="31" t="s">
        <v>28</v>
      </c>
      <c r="C122" t="s">
        <v>257</v>
      </c>
      <c r="D122" s="26">
        <v>45</v>
      </c>
      <c r="E122" s="27">
        <v>4</v>
      </c>
      <c r="F122" s="20">
        <f t="shared" si="4"/>
        <v>180</v>
      </c>
    </row>
    <row r="123" spans="1:6" ht="20.399999999999999" customHeight="1">
      <c r="A123" s="23">
        <v>5012</v>
      </c>
      <c r="B123" s="24" t="s">
        <v>30</v>
      </c>
      <c r="C123" t="s">
        <v>31</v>
      </c>
      <c r="D123" s="26">
        <v>40</v>
      </c>
      <c r="E123" s="27">
        <v>10</v>
      </c>
      <c r="F123" s="20">
        <f t="shared" si="4"/>
        <v>400</v>
      </c>
    </row>
    <row r="124" spans="1:6" ht="20.399999999999999" customHeight="1">
      <c r="A124" s="23">
        <v>5013</v>
      </c>
      <c r="B124" s="24" t="s">
        <v>32</v>
      </c>
      <c r="C124" t="s">
        <v>258</v>
      </c>
      <c r="D124" s="26">
        <v>40</v>
      </c>
      <c r="E124" s="27">
        <v>2</v>
      </c>
      <c r="F124" s="20">
        <f t="shared" si="4"/>
        <v>80</v>
      </c>
    </row>
    <row r="125" spans="1:6" ht="20.399999999999999" customHeight="1">
      <c r="A125" s="23">
        <v>5014</v>
      </c>
      <c r="B125" s="24" t="s">
        <v>34</v>
      </c>
      <c r="C125" t="s">
        <v>259</v>
      </c>
      <c r="D125" s="26">
        <v>55</v>
      </c>
      <c r="E125" s="27">
        <v>4</v>
      </c>
      <c r="F125" s="20">
        <f t="shared" si="4"/>
        <v>220</v>
      </c>
    </row>
    <row r="126" spans="1:6" ht="20.399999999999999" customHeight="1">
      <c r="A126" s="23">
        <v>5015</v>
      </c>
      <c r="B126" s="33" t="s">
        <v>36</v>
      </c>
      <c r="C126" t="s">
        <v>260</v>
      </c>
      <c r="D126" s="26">
        <v>80</v>
      </c>
      <c r="E126" s="27">
        <v>3</v>
      </c>
      <c r="F126" s="20">
        <f t="shared" si="4"/>
        <v>240</v>
      </c>
    </row>
    <row r="127" spans="1:6" ht="20.399999999999999" customHeight="1">
      <c r="A127" s="30">
        <v>5017</v>
      </c>
      <c r="B127" s="31" t="s">
        <v>38</v>
      </c>
      <c r="C127" t="s">
        <v>261</v>
      </c>
      <c r="D127" s="26">
        <v>45</v>
      </c>
      <c r="E127" s="27">
        <v>1</v>
      </c>
      <c r="F127" s="20">
        <f t="shared" si="4"/>
        <v>45</v>
      </c>
    </row>
    <row r="128" spans="1:6" ht="20.399999999999999" customHeight="1">
      <c r="A128" s="23">
        <v>5018</v>
      </c>
      <c r="B128" s="24" t="s">
        <v>40</v>
      </c>
      <c r="C128" t="s">
        <v>262</v>
      </c>
      <c r="D128" s="26">
        <v>40</v>
      </c>
      <c r="E128" s="27">
        <v>10</v>
      </c>
      <c r="F128" s="20">
        <f t="shared" si="4"/>
        <v>400</v>
      </c>
    </row>
    <row r="129" spans="1:6" ht="20.399999999999999" customHeight="1">
      <c r="A129" s="23">
        <v>5020</v>
      </c>
      <c r="B129" s="24" t="s">
        <v>42</v>
      </c>
      <c r="C129" t="s">
        <v>263</v>
      </c>
      <c r="D129" s="26">
        <v>40</v>
      </c>
      <c r="E129" s="27">
        <v>3</v>
      </c>
      <c r="F129" s="20">
        <f t="shared" si="4"/>
        <v>120</v>
      </c>
    </row>
    <row r="130" spans="1:6" ht="20.399999999999999" customHeight="1">
      <c r="A130" s="35">
        <v>5024</v>
      </c>
      <c r="B130" s="36" t="s">
        <v>44</v>
      </c>
      <c r="C130" t="s">
        <v>264</v>
      </c>
      <c r="D130" s="37">
        <v>40</v>
      </c>
      <c r="E130" s="38">
        <v>5</v>
      </c>
      <c r="F130" s="20">
        <f t="shared" si="4"/>
        <v>200</v>
      </c>
    </row>
    <row r="131" spans="1:6" ht="20.399999999999999" customHeight="1">
      <c r="A131" s="23">
        <v>5025</v>
      </c>
      <c r="B131" s="33" t="s">
        <v>46</v>
      </c>
      <c r="C131" t="s">
        <v>265</v>
      </c>
      <c r="D131" s="26">
        <v>80</v>
      </c>
      <c r="E131" s="27">
        <v>1</v>
      </c>
      <c r="F131" s="20">
        <f t="shared" si="4"/>
        <v>80</v>
      </c>
    </row>
    <row r="132" spans="1:6" ht="20.399999999999999" customHeight="1">
      <c r="A132" s="23">
        <v>5026</v>
      </c>
      <c r="B132" s="24" t="s">
        <v>48</v>
      </c>
      <c r="C132" t="s">
        <v>266</v>
      </c>
      <c r="D132" s="26">
        <v>40</v>
      </c>
      <c r="E132" s="27">
        <v>14</v>
      </c>
      <c r="F132" s="20">
        <f t="shared" si="4"/>
        <v>560</v>
      </c>
    </row>
    <row r="133" spans="1:6" ht="20.399999999999999" customHeight="1">
      <c r="A133" s="23">
        <v>5027</v>
      </c>
      <c r="B133" s="24" t="s">
        <v>50</v>
      </c>
      <c r="C133" t="s">
        <v>267</v>
      </c>
      <c r="D133" s="26">
        <v>40</v>
      </c>
      <c r="E133" s="27">
        <v>5</v>
      </c>
      <c r="F133" s="20">
        <f t="shared" si="4"/>
        <v>200</v>
      </c>
    </row>
    <row r="134" spans="1:6" ht="20.399999999999999" customHeight="1">
      <c r="A134" s="23">
        <v>5036</v>
      </c>
      <c r="B134" s="24" t="s">
        <v>52</v>
      </c>
      <c r="C134" t="s">
        <v>53</v>
      </c>
      <c r="D134" s="26">
        <v>55</v>
      </c>
      <c r="E134" s="27">
        <v>2</v>
      </c>
      <c r="F134" s="20">
        <f t="shared" si="4"/>
        <v>110</v>
      </c>
    </row>
    <row r="135" spans="1:6" ht="20.399999999999999" customHeight="1">
      <c r="A135" s="30">
        <v>5039</v>
      </c>
      <c r="B135" s="31" t="s">
        <v>54</v>
      </c>
      <c r="C135" t="s">
        <v>268</v>
      </c>
      <c r="D135" s="26">
        <v>45</v>
      </c>
      <c r="E135" s="27">
        <v>10</v>
      </c>
      <c r="F135" s="20">
        <f t="shared" si="4"/>
        <v>450</v>
      </c>
    </row>
    <row r="136" spans="1:6" ht="20.399999999999999" customHeight="1">
      <c r="A136" s="30">
        <v>5040</v>
      </c>
      <c r="B136" s="31" t="s">
        <v>56</v>
      </c>
      <c r="C136" t="s">
        <v>269</v>
      </c>
      <c r="D136" s="26">
        <v>45</v>
      </c>
      <c r="E136" s="27">
        <v>10</v>
      </c>
      <c r="F136" s="20">
        <f t="shared" si="4"/>
        <v>450</v>
      </c>
    </row>
    <row r="137" spans="1:6" ht="20.399999999999999" customHeight="1">
      <c r="A137" s="23">
        <v>5041</v>
      </c>
      <c r="B137" s="24" t="s">
        <v>58</v>
      </c>
      <c r="C137" t="s">
        <v>270</v>
      </c>
      <c r="D137" s="26">
        <v>40</v>
      </c>
      <c r="E137" s="27">
        <v>6</v>
      </c>
      <c r="F137" s="20">
        <f t="shared" si="4"/>
        <v>240</v>
      </c>
    </row>
    <row r="138" spans="1:6" ht="20.399999999999999" customHeight="1">
      <c r="A138" s="41">
        <v>5043</v>
      </c>
      <c r="B138" s="42" t="s">
        <v>60</v>
      </c>
      <c r="C138" t="s">
        <v>61</v>
      </c>
      <c r="D138" s="42">
        <v>40</v>
      </c>
      <c r="E138" s="42">
        <v>4</v>
      </c>
      <c r="F138" s="20">
        <f t="shared" si="4"/>
        <v>160</v>
      </c>
    </row>
    <row r="139" spans="1:6" ht="20.399999999999999" customHeight="1">
      <c r="A139" s="30">
        <v>5051</v>
      </c>
      <c r="B139" s="31" t="s">
        <v>62</v>
      </c>
      <c r="C139" t="s">
        <v>271</v>
      </c>
      <c r="D139" s="26">
        <v>45</v>
      </c>
      <c r="E139" s="27">
        <v>1</v>
      </c>
      <c r="F139" s="20">
        <f t="shared" si="4"/>
        <v>45</v>
      </c>
    </row>
    <row r="140" spans="1:6" ht="20.399999999999999" customHeight="1">
      <c r="A140" s="30">
        <v>5052</v>
      </c>
      <c r="B140" s="31" t="s">
        <v>64</v>
      </c>
      <c r="C140" t="s">
        <v>272</v>
      </c>
      <c r="D140" s="26">
        <v>45</v>
      </c>
      <c r="E140" s="27">
        <v>5</v>
      </c>
      <c r="F140" s="20">
        <f t="shared" si="4"/>
        <v>225</v>
      </c>
    </row>
    <row r="141" spans="1:6" ht="20.399999999999999" customHeight="1">
      <c r="A141" s="23">
        <v>5057</v>
      </c>
      <c r="B141" s="24" t="s">
        <v>66</v>
      </c>
      <c r="C141" t="s">
        <v>273</v>
      </c>
      <c r="D141" s="26">
        <v>40</v>
      </c>
      <c r="E141" s="27">
        <v>2</v>
      </c>
      <c r="F141" s="20">
        <f t="shared" si="4"/>
        <v>80</v>
      </c>
    </row>
    <row r="142" spans="1:6" ht="20.399999999999999" customHeight="1">
      <c r="A142" s="23">
        <v>5058</v>
      </c>
      <c r="B142" s="24" t="s">
        <v>68</v>
      </c>
      <c r="C142" t="s">
        <v>274</v>
      </c>
      <c r="D142" s="26">
        <v>55</v>
      </c>
      <c r="E142" s="27">
        <v>2</v>
      </c>
      <c r="F142" s="20">
        <f t="shared" si="4"/>
        <v>110</v>
      </c>
    </row>
    <row r="143" spans="1:6" ht="20.399999999999999" customHeight="1">
      <c r="A143" s="23">
        <v>5060</v>
      </c>
      <c r="B143" s="24" t="s">
        <v>70</v>
      </c>
      <c r="C143" t="s">
        <v>275</v>
      </c>
      <c r="D143" s="26">
        <v>40</v>
      </c>
      <c r="E143" s="27">
        <v>15</v>
      </c>
      <c r="F143" s="20">
        <f t="shared" si="4"/>
        <v>600</v>
      </c>
    </row>
    <row r="144" spans="1:6" ht="20.399999999999999" customHeight="1">
      <c r="A144" s="23">
        <v>5061</v>
      </c>
      <c r="B144" s="33" t="s">
        <v>72</v>
      </c>
      <c r="C144" t="s">
        <v>276</v>
      </c>
      <c r="D144" s="26">
        <v>80</v>
      </c>
      <c r="E144" s="27">
        <v>5</v>
      </c>
      <c r="F144" s="20">
        <f t="shared" si="4"/>
        <v>400</v>
      </c>
    </row>
    <row r="145" spans="1:6" ht="20.399999999999999" customHeight="1">
      <c r="A145" s="30">
        <v>5062</v>
      </c>
      <c r="B145" s="31" t="s">
        <v>74</v>
      </c>
      <c r="C145" t="s">
        <v>277</v>
      </c>
      <c r="D145" s="26">
        <v>45</v>
      </c>
      <c r="E145" s="27">
        <v>15</v>
      </c>
      <c r="F145" s="20">
        <f t="shared" si="4"/>
        <v>675</v>
      </c>
    </row>
    <row r="146" spans="1:6" ht="20.399999999999999" customHeight="1">
      <c r="A146" s="23">
        <v>5070</v>
      </c>
      <c r="B146" s="24" t="s">
        <v>76</v>
      </c>
      <c r="C146" t="s">
        <v>278</v>
      </c>
      <c r="D146" s="26">
        <v>40</v>
      </c>
      <c r="E146" s="27">
        <v>70</v>
      </c>
      <c r="F146" s="20">
        <f t="shared" si="4"/>
        <v>2800</v>
      </c>
    </row>
    <row r="147" spans="1:6" ht="20.399999999999999" customHeight="1">
      <c r="A147" s="23">
        <v>5073</v>
      </c>
      <c r="B147" s="24" t="s">
        <v>78</v>
      </c>
      <c r="C147" t="s">
        <v>79</v>
      </c>
      <c r="D147" s="26">
        <v>55</v>
      </c>
      <c r="E147" s="27">
        <v>5</v>
      </c>
      <c r="F147" s="20">
        <f t="shared" si="4"/>
        <v>275</v>
      </c>
    </row>
    <row r="148" spans="1:6" ht="20.399999999999999" customHeight="1">
      <c r="A148" s="23">
        <v>5074</v>
      </c>
      <c r="B148" s="24" t="s">
        <v>80</v>
      </c>
      <c r="C148" t="s">
        <v>279</v>
      </c>
      <c r="D148" s="26">
        <v>40</v>
      </c>
      <c r="E148" s="27">
        <v>12</v>
      </c>
      <c r="F148" s="20">
        <f t="shared" si="4"/>
        <v>480</v>
      </c>
    </row>
    <row r="149" spans="1:6" ht="20.399999999999999" customHeight="1">
      <c r="A149" s="23">
        <v>5075</v>
      </c>
      <c r="B149" s="24" t="s">
        <v>82</v>
      </c>
      <c r="C149" t="s">
        <v>280</v>
      </c>
      <c r="D149" s="26">
        <v>40</v>
      </c>
      <c r="E149" s="27">
        <v>23</v>
      </c>
      <c r="F149" s="20">
        <f t="shared" si="4"/>
        <v>920</v>
      </c>
    </row>
    <row r="150" spans="1:6" ht="20.399999999999999" customHeight="1">
      <c r="A150" s="23">
        <v>5076</v>
      </c>
      <c r="B150" s="24" t="s">
        <v>84</v>
      </c>
      <c r="C150" t="s">
        <v>85</v>
      </c>
      <c r="D150" s="26">
        <v>55</v>
      </c>
      <c r="E150" s="27">
        <v>6</v>
      </c>
      <c r="F150" s="20">
        <f t="shared" si="4"/>
        <v>330</v>
      </c>
    </row>
    <row r="151" spans="1:6" ht="20.399999999999999" customHeight="1">
      <c r="A151" s="23">
        <v>5078</v>
      </c>
      <c r="B151" s="24" t="s">
        <v>86</v>
      </c>
      <c r="C151" t="s">
        <v>87</v>
      </c>
      <c r="D151" s="26">
        <v>55</v>
      </c>
      <c r="E151" s="27">
        <v>10</v>
      </c>
      <c r="F151" s="20">
        <f t="shared" si="4"/>
        <v>550</v>
      </c>
    </row>
    <row r="152" spans="1:6" ht="20.399999999999999" customHeight="1">
      <c r="A152" s="23">
        <v>5079</v>
      </c>
      <c r="B152" s="24" t="s">
        <v>88</v>
      </c>
      <c r="C152" t="s">
        <v>281</v>
      </c>
      <c r="D152" s="26">
        <v>40</v>
      </c>
      <c r="E152" s="27">
        <v>11</v>
      </c>
      <c r="F152" s="20">
        <f t="shared" si="4"/>
        <v>440</v>
      </c>
    </row>
    <row r="153" spans="1:6" ht="20.399999999999999" customHeight="1">
      <c r="A153" s="35">
        <v>5088</v>
      </c>
      <c r="B153" s="36" t="s">
        <v>90</v>
      </c>
      <c r="C153" t="s">
        <v>282</v>
      </c>
      <c r="D153" s="37">
        <v>40</v>
      </c>
      <c r="E153" s="38">
        <v>2</v>
      </c>
      <c r="F153" s="20">
        <f t="shared" si="4"/>
        <v>80</v>
      </c>
    </row>
    <row r="154" spans="1:6" ht="20.399999999999999" customHeight="1">
      <c r="A154" s="23">
        <v>5089</v>
      </c>
      <c r="B154" s="24" t="s">
        <v>92</v>
      </c>
      <c r="C154" t="s">
        <v>283</v>
      </c>
      <c r="D154" s="26">
        <v>40</v>
      </c>
      <c r="E154" s="27">
        <v>10</v>
      </c>
      <c r="F154" s="20">
        <f t="shared" si="4"/>
        <v>400</v>
      </c>
    </row>
    <row r="155" spans="1:6" ht="20.399999999999999" customHeight="1">
      <c r="A155" s="23">
        <v>5090</v>
      </c>
      <c r="B155" s="24" t="s">
        <v>94</v>
      </c>
      <c r="C155" t="s">
        <v>284</v>
      </c>
      <c r="D155" s="26">
        <v>25</v>
      </c>
      <c r="E155" s="27">
        <v>12</v>
      </c>
      <c r="F155" s="20">
        <f t="shared" si="4"/>
        <v>300</v>
      </c>
    </row>
    <row r="156" spans="1:6" ht="20.399999999999999" customHeight="1">
      <c r="A156" s="23">
        <v>5092</v>
      </c>
      <c r="B156" s="24" t="s">
        <v>96</v>
      </c>
      <c r="C156" t="s">
        <v>285</v>
      </c>
      <c r="D156" s="26">
        <v>100</v>
      </c>
      <c r="E156" s="27">
        <v>1</v>
      </c>
      <c r="F156" s="20">
        <f t="shared" si="4"/>
        <v>100</v>
      </c>
    </row>
    <row r="157" spans="1:6" ht="20.399999999999999" customHeight="1">
      <c r="A157" s="23">
        <v>5093</v>
      </c>
      <c r="B157" s="24" t="s">
        <v>98</v>
      </c>
      <c r="C157" t="s">
        <v>286</v>
      </c>
      <c r="D157" s="26">
        <v>25</v>
      </c>
      <c r="E157" s="27">
        <v>12</v>
      </c>
      <c r="F157" s="20">
        <f t="shared" si="4"/>
        <v>300</v>
      </c>
    </row>
    <row r="158" spans="1:6" ht="20.399999999999999" customHeight="1">
      <c r="A158" s="23">
        <v>5094</v>
      </c>
      <c r="B158" s="33" t="s">
        <v>100</v>
      </c>
      <c r="C158" t="s">
        <v>287</v>
      </c>
      <c r="D158" s="26">
        <v>80</v>
      </c>
      <c r="E158" s="27">
        <v>9</v>
      </c>
      <c r="F158" s="20">
        <f t="shared" si="4"/>
        <v>720</v>
      </c>
    </row>
    <row r="159" spans="1:6" ht="20.399999999999999" customHeight="1">
      <c r="A159" s="23">
        <v>5095</v>
      </c>
      <c r="B159" s="24" t="s">
        <v>102</v>
      </c>
      <c r="C159" t="s">
        <v>288</v>
      </c>
      <c r="D159" s="26">
        <v>40</v>
      </c>
      <c r="E159" s="27">
        <v>5</v>
      </c>
      <c r="F159" s="20">
        <f t="shared" si="4"/>
        <v>200</v>
      </c>
    </row>
    <row r="160" spans="1:6" ht="20.399999999999999" customHeight="1">
      <c r="A160" s="23">
        <v>5096</v>
      </c>
      <c r="B160" s="24" t="s">
        <v>104</v>
      </c>
      <c r="C160" t="s">
        <v>289</v>
      </c>
      <c r="D160" s="26">
        <v>40</v>
      </c>
      <c r="E160" s="27">
        <v>14</v>
      </c>
      <c r="F160" s="20">
        <f t="shared" si="4"/>
        <v>560</v>
      </c>
    </row>
    <row r="161" spans="1:6" ht="20.399999999999999" customHeight="1">
      <c r="A161" s="30">
        <v>5097</v>
      </c>
      <c r="B161" s="31" t="s">
        <v>106</v>
      </c>
      <c r="C161" t="s">
        <v>290</v>
      </c>
      <c r="D161" s="26">
        <v>45</v>
      </c>
      <c r="E161" s="27">
        <v>1</v>
      </c>
      <c r="F161" s="20">
        <f t="shared" si="4"/>
        <v>45</v>
      </c>
    </row>
    <row r="162" spans="1:6" ht="20.399999999999999" customHeight="1">
      <c r="A162" s="35">
        <v>5099</v>
      </c>
      <c r="B162" s="36" t="s">
        <v>108</v>
      </c>
      <c r="C162" t="s">
        <v>291</v>
      </c>
      <c r="D162" s="37">
        <v>40</v>
      </c>
      <c r="E162" s="38">
        <v>10</v>
      </c>
      <c r="F162" s="20">
        <f t="shared" si="4"/>
        <v>400</v>
      </c>
    </row>
    <row r="163" spans="1:6" ht="20.399999999999999" customHeight="1">
      <c r="A163" s="41">
        <v>5100</v>
      </c>
      <c r="B163" s="42" t="s">
        <v>110</v>
      </c>
      <c r="C163" t="s">
        <v>292</v>
      </c>
      <c r="D163" s="42">
        <v>40</v>
      </c>
      <c r="E163" s="42">
        <v>1</v>
      </c>
      <c r="F163" s="20">
        <f t="shared" si="4"/>
        <v>40</v>
      </c>
    </row>
    <row r="164" spans="1:6" ht="20.399999999999999" customHeight="1">
      <c r="A164" s="23">
        <v>5102</v>
      </c>
      <c r="B164" s="24" t="s">
        <v>112</v>
      </c>
      <c r="C164" t="s">
        <v>293</v>
      </c>
      <c r="D164" s="26">
        <v>40</v>
      </c>
      <c r="E164" s="27">
        <v>5</v>
      </c>
      <c r="F164" s="20">
        <f t="shared" si="4"/>
        <v>200</v>
      </c>
    </row>
    <row r="165" spans="1:6" ht="20.399999999999999" customHeight="1">
      <c r="A165" s="35">
        <v>5104</v>
      </c>
      <c r="B165" s="45" t="s">
        <v>114</v>
      </c>
      <c r="C165" t="s">
        <v>294</v>
      </c>
      <c r="D165" s="37">
        <v>40</v>
      </c>
      <c r="E165" s="38">
        <v>1</v>
      </c>
      <c r="F165" s="20">
        <f t="shared" si="4"/>
        <v>40</v>
      </c>
    </row>
    <row r="166" spans="1:6" ht="20.399999999999999" customHeight="1">
      <c r="A166" s="23">
        <v>5105</v>
      </c>
      <c r="B166" s="24" t="s">
        <v>116</v>
      </c>
      <c r="C166" t="s">
        <v>295</v>
      </c>
      <c r="D166" s="26">
        <v>25</v>
      </c>
      <c r="E166" s="27">
        <v>3</v>
      </c>
      <c r="F166" s="20">
        <f t="shared" si="4"/>
        <v>75</v>
      </c>
    </row>
    <row r="167" spans="1:6" ht="20.399999999999999" customHeight="1">
      <c r="A167" s="23">
        <v>5106</v>
      </c>
      <c r="B167" s="33" t="s">
        <v>118</v>
      </c>
      <c r="C167" t="s">
        <v>296</v>
      </c>
      <c r="D167" s="26">
        <v>80</v>
      </c>
      <c r="E167" s="27">
        <v>5</v>
      </c>
      <c r="F167" s="20">
        <f t="shared" si="4"/>
        <v>400</v>
      </c>
    </row>
    <row r="168" spans="1:6" ht="20.399999999999999" customHeight="1">
      <c r="A168" s="23">
        <v>5107</v>
      </c>
      <c r="B168" s="46" t="s">
        <v>120</v>
      </c>
      <c r="C168" t="s">
        <v>297</v>
      </c>
      <c r="D168" s="26">
        <v>80</v>
      </c>
      <c r="E168" s="27">
        <v>10</v>
      </c>
      <c r="F168" s="20">
        <f t="shared" si="4"/>
        <v>800</v>
      </c>
    </row>
    <row r="169" spans="1:6" ht="20.399999999999999" customHeight="1">
      <c r="A169" s="23">
        <v>5108</v>
      </c>
      <c r="B169" s="24" t="s">
        <v>122</v>
      </c>
      <c r="C169" t="s">
        <v>298</v>
      </c>
      <c r="D169" s="26">
        <v>40</v>
      </c>
      <c r="E169" s="27">
        <v>3</v>
      </c>
      <c r="F169" s="20">
        <f t="shared" si="4"/>
        <v>120</v>
      </c>
    </row>
    <row r="170" spans="1:6" ht="20.399999999999999" customHeight="1">
      <c r="A170" s="30">
        <v>5109</v>
      </c>
      <c r="B170" s="31" t="s">
        <v>124</v>
      </c>
      <c r="C170" t="s">
        <v>298</v>
      </c>
      <c r="D170" s="26">
        <v>45</v>
      </c>
      <c r="E170" s="27">
        <v>2</v>
      </c>
      <c r="F170" s="20">
        <f t="shared" si="4"/>
        <v>90</v>
      </c>
    </row>
    <row r="171" spans="1:6" ht="20.399999999999999" customHeight="1">
      <c r="A171" s="30">
        <v>5110</v>
      </c>
      <c r="B171" s="31" t="s">
        <v>125</v>
      </c>
      <c r="C171" t="s">
        <v>126</v>
      </c>
      <c r="D171" s="26">
        <v>45</v>
      </c>
      <c r="E171" s="27">
        <v>3</v>
      </c>
      <c r="F171" s="20">
        <f t="shared" si="4"/>
        <v>135</v>
      </c>
    </row>
    <row r="172" spans="1:6" ht="20.399999999999999" customHeight="1">
      <c r="A172" s="41">
        <v>5111</v>
      </c>
      <c r="B172" s="42" t="s">
        <v>127</v>
      </c>
      <c r="C172" t="s">
        <v>299</v>
      </c>
      <c r="D172" s="42">
        <v>40</v>
      </c>
      <c r="E172" s="42">
        <v>39</v>
      </c>
      <c r="F172" s="20">
        <f t="shared" si="4"/>
        <v>1560</v>
      </c>
    </row>
    <row r="173" spans="1:6" ht="20.399999999999999" customHeight="1">
      <c r="A173" s="23">
        <v>5118</v>
      </c>
      <c r="B173" s="24" t="s">
        <v>129</v>
      </c>
      <c r="C173" t="s">
        <v>300</v>
      </c>
      <c r="D173" s="26">
        <v>25</v>
      </c>
      <c r="E173" s="27">
        <v>4</v>
      </c>
      <c r="F173" s="20">
        <f t="shared" si="4"/>
        <v>100</v>
      </c>
    </row>
    <row r="174" spans="1:6" ht="20.399999999999999" customHeight="1">
      <c r="A174" s="23">
        <v>5122</v>
      </c>
      <c r="B174" s="24" t="s">
        <v>131</v>
      </c>
      <c r="C174" t="s">
        <v>301</v>
      </c>
      <c r="D174" s="26">
        <v>40</v>
      </c>
      <c r="E174" s="27">
        <v>10</v>
      </c>
      <c r="F174" s="20">
        <f t="shared" si="4"/>
        <v>400</v>
      </c>
    </row>
    <row r="175" spans="1:6" ht="20.399999999999999" customHeight="1" thickBot="1">
      <c r="A175" s="47">
        <v>400</v>
      </c>
      <c r="B175" s="48" t="s">
        <v>133</v>
      </c>
      <c r="C175" t="s">
        <v>302</v>
      </c>
      <c r="D175" s="48">
        <v>22</v>
      </c>
      <c r="E175" s="49">
        <v>70</v>
      </c>
      <c r="F175" s="20">
        <f t="shared" si="4"/>
        <v>1540</v>
      </c>
    </row>
    <row r="176" spans="1:6" ht="20.399999999999999" customHeight="1" thickBot="1">
      <c r="A176" s="5"/>
      <c r="B176" s="10"/>
      <c r="C176" s="138" t="s">
        <v>303</v>
      </c>
      <c r="D176" s="10"/>
      <c r="E176" s="12"/>
      <c r="F176" s="13"/>
    </row>
    <row r="177" spans="1:6" ht="20.399999999999999" customHeight="1">
      <c r="A177" s="51">
        <v>514</v>
      </c>
      <c r="B177" s="52" t="s">
        <v>136</v>
      </c>
      <c r="C177" t="s">
        <v>304</v>
      </c>
      <c r="D177" s="18">
        <v>80</v>
      </c>
      <c r="E177" s="19">
        <v>2</v>
      </c>
      <c r="F177" s="20">
        <f>D177*E177</f>
        <v>160</v>
      </c>
    </row>
    <row r="178" spans="1:6" ht="20.399999999999999" customHeight="1" thickBot="1">
      <c r="A178" s="53">
        <v>580</v>
      </c>
      <c r="B178" s="54" t="s">
        <v>138</v>
      </c>
      <c r="C178" t="s">
        <v>305</v>
      </c>
      <c r="D178" s="55">
        <v>80</v>
      </c>
      <c r="E178" s="56">
        <v>10</v>
      </c>
      <c r="F178" s="20">
        <f>D178*E178</f>
        <v>800</v>
      </c>
    </row>
    <row r="179" spans="1:6" ht="20.399999999999999" customHeight="1" thickBot="1">
      <c r="A179" s="5"/>
      <c r="B179" s="10"/>
      <c r="C179" s="138" t="s">
        <v>306</v>
      </c>
      <c r="D179" s="10"/>
      <c r="E179" s="12"/>
      <c r="F179" s="13"/>
    </row>
    <row r="180" spans="1:6" ht="20.399999999999999" customHeight="1">
      <c r="A180" s="51">
        <v>301</v>
      </c>
      <c r="B180" s="16" t="s">
        <v>141</v>
      </c>
      <c r="C180" t="s">
        <v>307</v>
      </c>
      <c r="D180" s="18">
        <v>45</v>
      </c>
      <c r="E180" s="19">
        <v>20</v>
      </c>
      <c r="F180" s="20">
        <f>D180*E180</f>
        <v>900</v>
      </c>
    </row>
    <row r="181" spans="1:6" ht="20.399999999999999" customHeight="1">
      <c r="A181" s="23">
        <v>302</v>
      </c>
      <c r="B181" s="24" t="s">
        <v>142</v>
      </c>
      <c r="C181" t="s">
        <v>308</v>
      </c>
      <c r="D181" s="26">
        <v>80</v>
      </c>
      <c r="E181" s="27">
        <v>6</v>
      </c>
      <c r="F181" s="20">
        <f t="shared" ref="F181:F203" si="5">D181*E181</f>
        <v>480</v>
      </c>
    </row>
    <row r="182" spans="1:6" ht="20.399999999999999" customHeight="1">
      <c r="A182" s="23">
        <v>303</v>
      </c>
      <c r="B182" s="24" t="s">
        <v>144</v>
      </c>
      <c r="C182" t="s">
        <v>309</v>
      </c>
      <c r="D182" s="26">
        <v>45</v>
      </c>
      <c r="E182" s="27">
        <v>50</v>
      </c>
      <c r="F182" s="20">
        <f t="shared" si="5"/>
        <v>2250</v>
      </c>
    </row>
    <row r="183" spans="1:6" ht="20.399999999999999" customHeight="1">
      <c r="A183" s="23">
        <v>310</v>
      </c>
      <c r="B183" s="24" t="s">
        <v>146</v>
      </c>
      <c r="C183" t="s">
        <v>310</v>
      </c>
      <c r="D183" s="26">
        <v>45</v>
      </c>
      <c r="E183" s="27">
        <v>40</v>
      </c>
      <c r="F183" s="20">
        <f t="shared" si="5"/>
        <v>1800</v>
      </c>
    </row>
    <row r="184" spans="1:6" ht="20.399999999999999" customHeight="1">
      <c r="A184" s="41">
        <v>313</v>
      </c>
      <c r="B184" s="42" t="s">
        <v>32</v>
      </c>
      <c r="C184" t="s">
        <v>259</v>
      </c>
      <c r="D184" s="42">
        <v>40</v>
      </c>
      <c r="E184" s="42">
        <v>5</v>
      </c>
      <c r="F184" s="20">
        <f t="shared" si="5"/>
        <v>200</v>
      </c>
    </row>
    <row r="185" spans="1:6" ht="20.399999999999999" customHeight="1">
      <c r="A185" s="41">
        <v>320</v>
      </c>
      <c r="B185" s="42" t="s">
        <v>148</v>
      </c>
      <c r="C185" t="s">
        <v>311</v>
      </c>
      <c r="D185" s="42">
        <v>40</v>
      </c>
      <c r="E185" s="42">
        <v>5</v>
      </c>
      <c r="F185" s="20">
        <f t="shared" si="5"/>
        <v>200</v>
      </c>
    </row>
    <row r="186" spans="1:6" ht="20.399999999999999" customHeight="1">
      <c r="A186" s="23">
        <v>323</v>
      </c>
      <c r="B186" s="24" t="s">
        <v>150</v>
      </c>
      <c r="C186" t="s">
        <v>312</v>
      </c>
      <c r="D186" s="26">
        <v>55</v>
      </c>
      <c r="E186" s="27">
        <v>15</v>
      </c>
      <c r="F186" s="20">
        <f t="shared" si="5"/>
        <v>825</v>
      </c>
    </row>
    <row r="187" spans="1:6" ht="20.399999999999999" customHeight="1">
      <c r="A187" s="41">
        <v>328</v>
      </c>
      <c r="B187" s="42" t="s">
        <v>152</v>
      </c>
      <c r="C187" t="s">
        <v>313</v>
      </c>
      <c r="D187" s="42">
        <v>40</v>
      </c>
      <c r="E187" s="42">
        <v>48</v>
      </c>
      <c r="F187" s="20">
        <f t="shared" si="5"/>
        <v>1920</v>
      </c>
    </row>
    <row r="188" spans="1:6" ht="20.399999999999999" customHeight="1">
      <c r="A188" s="23">
        <v>337</v>
      </c>
      <c r="B188" s="24" t="s">
        <v>154</v>
      </c>
      <c r="C188" t="s">
        <v>314</v>
      </c>
      <c r="D188" s="26">
        <v>55</v>
      </c>
      <c r="E188" s="27">
        <v>58</v>
      </c>
      <c r="F188" s="20">
        <f t="shared" si="5"/>
        <v>3190</v>
      </c>
    </row>
    <row r="189" spans="1:6" ht="20.399999999999999" customHeight="1">
      <c r="A189" s="41">
        <v>340</v>
      </c>
      <c r="B189" s="42" t="s">
        <v>156</v>
      </c>
      <c r="C189" t="s">
        <v>61</v>
      </c>
      <c r="D189" s="42">
        <v>40</v>
      </c>
      <c r="E189" s="42">
        <v>58</v>
      </c>
      <c r="F189" s="20">
        <f t="shared" si="5"/>
        <v>2320</v>
      </c>
    </row>
    <row r="190" spans="1:6" ht="20.399999999999999" customHeight="1">
      <c r="A190" s="41">
        <v>342</v>
      </c>
      <c r="B190" s="42" t="s">
        <v>157</v>
      </c>
      <c r="C190" t="s">
        <v>315</v>
      </c>
      <c r="D190" s="42">
        <v>40</v>
      </c>
      <c r="E190" s="42">
        <v>5</v>
      </c>
      <c r="F190" s="20">
        <f t="shared" si="5"/>
        <v>200</v>
      </c>
    </row>
    <row r="191" spans="1:6" ht="20.399999999999999" customHeight="1">
      <c r="A191" s="35">
        <v>346</v>
      </c>
      <c r="B191" s="36" t="s">
        <v>159</v>
      </c>
      <c r="C191" t="s">
        <v>160</v>
      </c>
      <c r="D191" s="37">
        <v>45</v>
      </c>
      <c r="E191" s="38">
        <v>10</v>
      </c>
      <c r="F191" s="20">
        <f t="shared" si="5"/>
        <v>450</v>
      </c>
    </row>
    <row r="192" spans="1:6" ht="20.399999999999999" customHeight="1">
      <c r="A192" s="23">
        <v>350</v>
      </c>
      <c r="B192" s="24" t="s">
        <v>161</v>
      </c>
      <c r="C192" t="s">
        <v>316</v>
      </c>
      <c r="D192" s="26">
        <v>45</v>
      </c>
      <c r="E192" s="27">
        <v>40</v>
      </c>
      <c r="F192" s="20">
        <f t="shared" si="5"/>
        <v>1800</v>
      </c>
    </row>
    <row r="193" spans="1:6" ht="20.399999999999999" customHeight="1">
      <c r="A193" s="41">
        <v>357</v>
      </c>
      <c r="B193" s="42" t="s">
        <v>163</v>
      </c>
      <c r="C193" t="s">
        <v>317</v>
      </c>
      <c r="D193" s="42">
        <v>45</v>
      </c>
      <c r="E193" s="42">
        <v>2</v>
      </c>
      <c r="F193" s="20">
        <f t="shared" si="5"/>
        <v>90</v>
      </c>
    </row>
    <row r="194" spans="1:6" ht="20.399999999999999" customHeight="1">
      <c r="A194" s="23">
        <v>358</v>
      </c>
      <c r="B194" s="24" t="s">
        <v>165</v>
      </c>
      <c r="C194" t="s">
        <v>289</v>
      </c>
      <c r="D194" s="26">
        <v>45</v>
      </c>
      <c r="E194" s="27">
        <v>10</v>
      </c>
      <c r="F194" s="20">
        <f t="shared" si="5"/>
        <v>450</v>
      </c>
    </row>
    <row r="195" spans="1:6" ht="20.399999999999999" customHeight="1">
      <c r="A195" s="41">
        <v>359</v>
      </c>
      <c r="B195" s="42" t="s">
        <v>166</v>
      </c>
      <c r="C195" t="s">
        <v>318</v>
      </c>
      <c r="D195" s="42">
        <v>40</v>
      </c>
      <c r="E195" s="42">
        <v>5</v>
      </c>
      <c r="F195" s="20">
        <f t="shared" si="5"/>
        <v>200</v>
      </c>
    </row>
    <row r="196" spans="1:6" ht="20.399999999999999" customHeight="1">
      <c r="A196" s="41">
        <v>360</v>
      </c>
      <c r="B196" s="42" t="s">
        <v>168</v>
      </c>
      <c r="C196" t="s">
        <v>319</v>
      </c>
      <c r="D196" s="42">
        <v>45</v>
      </c>
      <c r="E196" s="27">
        <v>15</v>
      </c>
      <c r="F196" s="20">
        <f t="shared" si="5"/>
        <v>675</v>
      </c>
    </row>
    <row r="197" spans="1:6" ht="20.399999999999999" customHeight="1">
      <c r="A197" s="41">
        <v>361</v>
      </c>
      <c r="B197" s="42" t="s">
        <v>169</v>
      </c>
      <c r="C197" t="s">
        <v>320</v>
      </c>
      <c r="D197" s="42">
        <v>45</v>
      </c>
      <c r="E197" s="42">
        <v>15</v>
      </c>
      <c r="F197" s="20">
        <f t="shared" si="5"/>
        <v>675</v>
      </c>
    </row>
    <row r="198" spans="1:6" ht="20.399999999999999" customHeight="1">
      <c r="A198" s="23">
        <v>370</v>
      </c>
      <c r="B198" s="24" t="s">
        <v>171</v>
      </c>
      <c r="C198" t="s">
        <v>321</v>
      </c>
      <c r="D198" s="26">
        <v>45</v>
      </c>
      <c r="E198" s="27">
        <v>70</v>
      </c>
      <c r="F198" s="20">
        <f t="shared" si="5"/>
        <v>3150</v>
      </c>
    </row>
    <row r="199" spans="1:6" ht="20.399999999999999" customHeight="1">
      <c r="A199" s="23">
        <v>373</v>
      </c>
      <c r="B199" s="24" t="s">
        <v>78</v>
      </c>
      <c r="C199" t="s">
        <v>79</v>
      </c>
      <c r="D199" s="26">
        <v>80</v>
      </c>
      <c r="E199" s="27">
        <v>3</v>
      </c>
      <c r="F199" s="20">
        <f t="shared" si="5"/>
        <v>240</v>
      </c>
    </row>
    <row r="200" spans="1:6" ht="20.399999999999999" customHeight="1">
      <c r="A200" s="41">
        <v>390</v>
      </c>
      <c r="B200" s="42" t="s">
        <v>173</v>
      </c>
      <c r="C200" t="s">
        <v>284</v>
      </c>
      <c r="D200" s="42">
        <v>25</v>
      </c>
      <c r="E200" s="42">
        <v>20</v>
      </c>
      <c r="F200" s="20">
        <f t="shared" si="5"/>
        <v>500</v>
      </c>
    </row>
    <row r="201" spans="1:6" ht="20.399999999999999" customHeight="1">
      <c r="A201" s="23">
        <v>395</v>
      </c>
      <c r="B201" s="24" t="s">
        <v>175</v>
      </c>
      <c r="C201" t="s">
        <v>322</v>
      </c>
      <c r="D201" s="26">
        <v>40</v>
      </c>
      <c r="E201" s="27">
        <v>20</v>
      </c>
      <c r="F201" s="20">
        <f t="shared" si="5"/>
        <v>800</v>
      </c>
    </row>
    <row r="202" spans="1:6" ht="20.399999999999999" customHeight="1">
      <c r="A202" s="53">
        <v>396</v>
      </c>
      <c r="B202" s="60" t="s">
        <v>177</v>
      </c>
      <c r="C202" t="s">
        <v>289</v>
      </c>
      <c r="D202" s="55">
        <v>55</v>
      </c>
      <c r="E202" s="56">
        <v>20</v>
      </c>
      <c r="F202" s="20">
        <f t="shared" si="5"/>
        <v>1100</v>
      </c>
    </row>
    <row r="203" spans="1:6" ht="20.399999999999999" customHeight="1" thickBot="1">
      <c r="A203" s="61">
        <v>910</v>
      </c>
      <c r="B203" s="62" t="s">
        <v>179</v>
      </c>
      <c r="C203" t="s">
        <v>323</v>
      </c>
      <c r="D203" s="62">
        <v>22</v>
      </c>
      <c r="E203" s="62">
        <v>142</v>
      </c>
      <c r="F203" s="20">
        <f t="shared" si="5"/>
        <v>3124</v>
      </c>
    </row>
    <row r="204" spans="1:6" ht="20.399999999999999" customHeight="1" thickBot="1">
      <c r="A204" s="5"/>
      <c r="B204" s="10"/>
      <c r="C204" s="138" t="s">
        <v>324</v>
      </c>
      <c r="D204" s="10"/>
      <c r="E204" s="12"/>
      <c r="F204" s="13"/>
    </row>
    <row r="205" spans="1:6" ht="20.399999999999999" customHeight="1">
      <c r="A205" s="51">
        <v>607</v>
      </c>
      <c r="B205" s="16" t="s">
        <v>182</v>
      </c>
      <c r="C205" t="s">
        <v>325</v>
      </c>
      <c r="D205" s="18">
        <v>80</v>
      </c>
      <c r="E205" s="19">
        <v>10</v>
      </c>
      <c r="F205" s="20">
        <f>D205*E205</f>
        <v>800</v>
      </c>
    </row>
    <row r="206" spans="1:6" ht="20.399999999999999" customHeight="1">
      <c r="A206" s="23">
        <v>616</v>
      </c>
      <c r="B206" s="33" t="s">
        <v>184</v>
      </c>
      <c r="C206" t="s">
        <v>326</v>
      </c>
      <c r="D206" s="26">
        <v>80</v>
      </c>
      <c r="E206" s="27">
        <v>28</v>
      </c>
      <c r="F206" s="20">
        <f t="shared" ref="F206:F209" si="6">D206*E206</f>
        <v>2240</v>
      </c>
    </row>
    <row r="207" spans="1:6" ht="20.399999999999999" customHeight="1">
      <c r="A207" s="23">
        <v>640</v>
      </c>
      <c r="B207" s="24" t="s">
        <v>186</v>
      </c>
      <c r="C207" t="s">
        <v>327</v>
      </c>
      <c r="D207" s="26">
        <v>55</v>
      </c>
      <c r="E207" s="27">
        <v>40</v>
      </c>
      <c r="F207" s="20">
        <f t="shared" si="6"/>
        <v>2200</v>
      </c>
    </row>
    <row r="208" spans="1:6" ht="20.399999999999999" customHeight="1">
      <c r="A208" s="23">
        <v>649</v>
      </c>
      <c r="B208" s="46" t="s">
        <v>188</v>
      </c>
      <c r="C208" t="s">
        <v>326</v>
      </c>
      <c r="D208" s="26">
        <v>80</v>
      </c>
      <c r="E208" s="27">
        <v>42</v>
      </c>
      <c r="F208" s="20">
        <f t="shared" si="6"/>
        <v>3360</v>
      </c>
    </row>
    <row r="209" spans="1:6" ht="20.399999999999999" customHeight="1">
      <c r="A209" s="23">
        <v>680</v>
      </c>
      <c r="B209" s="24" t="s">
        <v>189</v>
      </c>
      <c r="C209" t="s">
        <v>305</v>
      </c>
      <c r="D209" s="26">
        <v>80</v>
      </c>
      <c r="E209" s="27">
        <v>10</v>
      </c>
      <c r="F209" s="20">
        <f t="shared" si="6"/>
        <v>800</v>
      </c>
    </row>
    <row r="210" spans="1:6" ht="20.399999999999999" customHeight="1">
      <c r="A210" s="65"/>
      <c r="B210" s="66"/>
      <c r="C210" s="138" t="s">
        <v>328</v>
      </c>
      <c r="D210" s="72"/>
      <c r="E210" s="72"/>
      <c r="F210" s="72"/>
    </row>
    <row r="211" spans="1:6" ht="20.399999999999999" customHeight="1">
      <c r="A211" s="30">
        <v>405</v>
      </c>
      <c r="B211" s="31" t="s">
        <v>191</v>
      </c>
      <c r="C211" t="s">
        <v>329</v>
      </c>
      <c r="D211" s="26">
        <v>25</v>
      </c>
      <c r="E211" s="27">
        <v>5</v>
      </c>
      <c r="F211" s="69">
        <f>D211*E211</f>
        <v>125</v>
      </c>
    </row>
    <row r="212" spans="1:6" ht="20.399999999999999" customHeight="1">
      <c r="A212" s="30">
        <v>435</v>
      </c>
      <c r="B212" s="31" t="s">
        <v>193</v>
      </c>
      <c r="C212" t="s">
        <v>330</v>
      </c>
      <c r="D212" s="26">
        <v>10</v>
      </c>
      <c r="E212" s="27">
        <v>13</v>
      </c>
      <c r="F212" s="69">
        <f t="shared" ref="F212:F216" si="7">D212*E212</f>
        <v>130</v>
      </c>
    </row>
    <row r="213" spans="1:6" ht="20.399999999999999" customHeight="1">
      <c r="A213" s="23">
        <v>850</v>
      </c>
      <c r="B213" s="24" t="s">
        <v>195</v>
      </c>
      <c r="C213" t="s">
        <v>331</v>
      </c>
      <c r="D213" s="26">
        <v>15</v>
      </c>
      <c r="E213" s="27">
        <v>20</v>
      </c>
      <c r="F213" s="69">
        <f t="shared" si="7"/>
        <v>300</v>
      </c>
    </row>
    <row r="214" spans="1:6" ht="20.399999999999999" customHeight="1">
      <c r="A214" s="23">
        <v>865</v>
      </c>
      <c r="B214" s="24" t="s">
        <v>197</v>
      </c>
      <c r="C214" t="s">
        <v>198</v>
      </c>
      <c r="D214" s="26">
        <v>20</v>
      </c>
      <c r="E214" s="27">
        <v>60</v>
      </c>
      <c r="F214" s="69">
        <f t="shared" si="7"/>
        <v>1200</v>
      </c>
    </row>
    <row r="215" spans="1:6" ht="20.399999999999999" customHeight="1">
      <c r="A215" s="23">
        <v>870</v>
      </c>
      <c r="B215" s="24" t="s">
        <v>199</v>
      </c>
      <c r="C215" t="s">
        <v>332</v>
      </c>
      <c r="D215" s="26">
        <v>200</v>
      </c>
      <c r="E215" s="27">
        <v>1</v>
      </c>
      <c r="F215" s="69">
        <f t="shared" si="7"/>
        <v>200</v>
      </c>
    </row>
    <row r="216" spans="1:6" ht="20.399999999999999" customHeight="1">
      <c r="A216" s="23">
        <v>1025</v>
      </c>
      <c r="B216" s="24" t="s">
        <v>201</v>
      </c>
      <c r="C216" t="s">
        <v>333</v>
      </c>
      <c r="D216" s="26">
        <v>25</v>
      </c>
      <c r="E216" s="27">
        <v>3</v>
      </c>
      <c r="F216" s="69">
        <f t="shared" si="7"/>
        <v>75</v>
      </c>
    </row>
  </sheetData>
  <mergeCells count="1">
    <mergeCell ref="C101:D101"/>
  </mergeCells>
  <conditionalFormatting sqref="A3:A65">
    <cfRule type="duplicateValues" dxfId="27" priority="13"/>
  </conditionalFormatting>
  <conditionalFormatting sqref="A66 A101:A103">
    <cfRule type="duplicateValues" dxfId="26" priority="12"/>
  </conditionalFormatting>
  <conditionalFormatting sqref="A67:A69">
    <cfRule type="duplicateValues" dxfId="25" priority="11"/>
  </conditionalFormatting>
  <conditionalFormatting sqref="A70:A93">
    <cfRule type="duplicateValues" dxfId="24" priority="10"/>
  </conditionalFormatting>
  <conditionalFormatting sqref="A95:A100">
    <cfRule type="duplicateValues" dxfId="23" priority="9"/>
  </conditionalFormatting>
  <conditionalFormatting sqref="A104:A107 A94">
    <cfRule type="duplicateValues" dxfId="22" priority="8"/>
  </conditionalFormatting>
  <conditionalFormatting sqref="A112:A174">
    <cfRule type="duplicateValues" dxfId="21" priority="7"/>
  </conditionalFormatting>
  <conditionalFormatting sqref="A175 A210:A212">
    <cfRule type="duplicateValues" dxfId="20" priority="6"/>
  </conditionalFormatting>
  <conditionalFormatting sqref="A176:A178">
    <cfRule type="duplicateValues" dxfId="19" priority="5"/>
  </conditionalFormatting>
  <conditionalFormatting sqref="A179:A202">
    <cfRule type="duplicateValues" dxfId="18" priority="4"/>
  </conditionalFormatting>
  <conditionalFormatting sqref="A204:A209">
    <cfRule type="duplicateValues" dxfId="17" priority="3"/>
  </conditionalFormatting>
  <conditionalFormatting sqref="A213:A216 A203">
    <cfRule type="duplicateValues" dxfId="16" priority="2"/>
  </conditionalFormatting>
  <conditionalFormatting sqref="E109">
    <cfRule type="duplicateValues" dxfId="15" priority="1"/>
  </conditionalFormatting>
  <pageMargins left="0.7" right="0.7" top="0.75" bottom="0.75" header="0.3" footer="0.3"/>
  <pageSetup paperSize="9" scale="6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2:K217"/>
  <sheetViews>
    <sheetView topLeftCell="E1" workbookViewId="0">
      <selection activeCell="B3" sqref="B3:G110"/>
    </sheetView>
  </sheetViews>
  <sheetFormatPr baseColWidth="10" defaultRowHeight="13.8"/>
  <cols>
    <col min="3" max="3" width="21.8984375" customWidth="1"/>
    <col min="4" max="4" width="44.09765625" customWidth="1"/>
    <col min="5" max="5" width="19" customWidth="1"/>
    <col min="6" max="6" width="15.796875" customWidth="1"/>
    <col min="7" max="7" width="18.296875" customWidth="1"/>
    <col min="8" max="8" width="15.19921875" customWidth="1"/>
    <col min="9" max="9" width="20.59765625" customWidth="1"/>
  </cols>
  <sheetData>
    <row r="2" spans="2:11" ht="14.4" thickBot="1">
      <c r="E2" s="138" t="s">
        <v>226</v>
      </c>
      <c r="G2" t="s">
        <v>335</v>
      </c>
    </row>
    <row r="3" spans="2:11" ht="23.4" thickBot="1">
      <c r="C3" s="1"/>
      <c r="D3" s="2" t="s">
        <v>0</v>
      </c>
      <c r="H3" s="3"/>
    </row>
    <row r="4" spans="2:11" ht="18" thickBot="1">
      <c r="C4" s="1"/>
      <c r="H4" s="3"/>
    </row>
    <row r="5" spans="2:11" ht="32.4" customHeight="1" thickBot="1">
      <c r="B5" s="4" t="s">
        <v>1</v>
      </c>
      <c r="C5" s="5" t="s">
        <v>2</v>
      </c>
      <c r="D5" s="4" t="s">
        <v>3</v>
      </c>
      <c r="E5" s="6" t="s">
        <v>339</v>
      </c>
      <c r="F5" s="7" t="s">
        <v>336</v>
      </c>
      <c r="G5" s="8" t="s">
        <v>337</v>
      </c>
      <c r="H5" s="9" t="s">
        <v>338</v>
      </c>
      <c r="I5" s="4" t="s">
        <v>8</v>
      </c>
      <c r="J5" t="s">
        <v>205</v>
      </c>
    </row>
    <row r="6" spans="2:11" ht="14.4" thickBot="1">
      <c r="B6" s="5"/>
      <c r="C6" s="10"/>
      <c r="D6" s="138" t="s">
        <v>334</v>
      </c>
      <c r="E6" s="10"/>
      <c r="F6" s="12"/>
      <c r="G6" s="13"/>
      <c r="H6" s="12"/>
      <c r="I6" s="14"/>
    </row>
    <row r="7" spans="2:11" ht="20.399999999999999" customHeight="1">
      <c r="B7" s="15">
        <v>5000</v>
      </c>
      <c r="C7" s="16" t="s">
        <v>10</v>
      </c>
      <c r="D7" t="s">
        <v>248</v>
      </c>
      <c r="E7" s="18">
        <v>40</v>
      </c>
      <c r="F7" s="19">
        <v>5</v>
      </c>
      <c r="G7" s="20">
        <f t="shared" ref="G7:G69" si="0">E7*F7</f>
        <v>200</v>
      </c>
      <c r="H7" s="21">
        <v>1.6</v>
      </c>
      <c r="I7" s="22">
        <f>G7*H7</f>
        <v>320</v>
      </c>
      <c r="J7" t="s">
        <v>204</v>
      </c>
      <c r="K7" s="71">
        <f>H7-0.1</f>
        <v>1.5</v>
      </c>
    </row>
    <row r="8" spans="2:11" ht="20.399999999999999" customHeight="1">
      <c r="B8" s="23">
        <v>5001</v>
      </c>
      <c r="C8" s="24" t="s">
        <v>12</v>
      </c>
      <c r="D8" t="s">
        <v>249</v>
      </c>
      <c r="E8" s="26">
        <v>65</v>
      </c>
      <c r="F8" s="27">
        <v>6</v>
      </c>
      <c r="G8" s="20">
        <f t="shared" si="0"/>
        <v>390</v>
      </c>
      <c r="H8" s="28">
        <v>1.5999999999999999</v>
      </c>
      <c r="I8" s="22">
        <f t="shared" ref="I8:I69" si="1">G8*H8</f>
        <v>624</v>
      </c>
      <c r="J8" t="s">
        <v>204</v>
      </c>
      <c r="K8" s="71">
        <f t="shared" ref="K8:K69" si="2">H8-0.1</f>
        <v>1.4999999999999998</v>
      </c>
    </row>
    <row r="9" spans="2:11" ht="20.399999999999999" customHeight="1">
      <c r="B9" s="23">
        <v>5002</v>
      </c>
      <c r="C9" s="24" t="s">
        <v>14</v>
      </c>
      <c r="D9" t="s">
        <v>250</v>
      </c>
      <c r="E9" s="26">
        <v>40</v>
      </c>
      <c r="F9" s="27">
        <v>5</v>
      </c>
      <c r="G9" s="20">
        <f t="shared" si="0"/>
        <v>200</v>
      </c>
      <c r="H9" s="28">
        <v>2</v>
      </c>
      <c r="I9" s="22">
        <f t="shared" si="1"/>
        <v>400</v>
      </c>
      <c r="J9" t="s">
        <v>204</v>
      </c>
      <c r="K9" s="71">
        <f t="shared" si="2"/>
        <v>1.9</v>
      </c>
    </row>
    <row r="10" spans="2:11" ht="20.399999999999999" customHeight="1">
      <c r="B10" s="29">
        <v>5003</v>
      </c>
      <c r="C10" s="24" t="s">
        <v>16</v>
      </c>
      <c r="D10" t="s">
        <v>251</v>
      </c>
      <c r="E10" s="26">
        <v>40</v>
      </c>
      <c r="F10" s="27">
        <v>35</v>
      </c>
      <c r="G10" s="20">
        <f t="shared" si="0"/>
        <v>1400</v>
      </c>
      <c r="H10" s="28">
        <v>1.5999999999999999</v>
      </c>
      <c r="I10" s="22">
        <f t="shared" si="1"/>
        <v>2240</v>
      </c>
      <c r="K10" s="71">
        <f t="shared" si="2"/>
        <v>1.4999999999999998</v>
      </c>
    </row>
    <row r="11" spans="2:11" ht="20.399999999999999" customHeight="1">
      <c r="B11" s="30">
        <v>5006</v>
      </c>
      <c r="C11" s="31" t="s">
        <v>18</v>
      </c>
      <c r="D11" t="s">
        <v>252</v>
      </c>
      <c r="E11" s="26">
        <v>45</v>
      </c>
      <c r="F11" s="27">
        <v>10</v>
      </c>
      <c r="G11" s="20">
        <f t="shared" si="0"/>
        <v>450</v>
      </c>
      <c r="H11" s="32">
        <v>1.5999999999999999</v>
      </c>
      <c r="I11" s="22">
        <f t="shared" si="1"/>
        <v>719.99999999999989</v>
      </c>
      <c r="K11" s="71">
        <f t="shared" si="2"/>
        <v>1.4999999999999998</v>
      </c>
    </row>
    <row r="12" spans="2:11" ht="20.399999999999999" customHeight="1">
      <c r="B12" s="23">
        <v>5007</v>
      </c>
      <c r="C12" s="24" t="s">
        <v>20</v>
      </c>
      <c r="D12" t="s">
        <v>253</v>
      </c>
      <c r="E12" s="26">
        <v>40</v>
      </c>
      <c r="F12" s="27">
        <v>15</v>
      </c>
      <c r="G12" s="20">
        <f t="shared" si="0"/>
        <v>600</v>
      </c>
      <c r="H12" s="28">
        <v>1.5999999999999999</v>
      </c>
      <c r="I12" s="22">
        <f t="shared" si="1"/>
        <v>959.99999999999989</v>
      </c>
      <c r="J12" t="s">
        <v>204</v>
      </c>
      <c r="K12" s="71">
        <f t="shared" si="2"/>
        <v>1.4999999999999998</v>
      </c>
    </row>
    <row r="13" spans="2:11" ht="20.399999999999999" customHeight="1">
      <c r="B13" s="23">
        <v>5008</v>
      </c>
      <c r="C13" s="24" t="s">
        <v>22</v>
      </c>
      <c r="D13" t="s">
        <v>254</v>
      </c>
      <c r="E13" s="26">
        <v>40</v>
      </c>
      <c r="F13" s="27">
        <v>3</v>
      </c>
      <c r="G13" s="20">
        <f t="shared" si="0"/>
        <v>120</v>
      </c>
      <c r="H13" s="28">
        <v>1.5999999999999999</v>
      </c>
      <c r="I13" s="22">
        <f t="shared" si="1"/>
        <v>191.99999999999997</v>
      </c>
      <c r="K13" s="71">
        <f t="shared" si="2"/>
        <v>1.4999999999999998</v>
      </c>
    </row>
    <row r="14" spans="2:11" ht="20.399999999999999" customHeight="1">
      <c r="B14" s="23">
        <v>5009</v>
      </c>
      <c r="C14" s="24" t="s">
        <v>24</v>
      </c>
      <c r="D14" t="s">
        <v>255</v>
      </c>
      <c r="E14" s="26">
        <v>55</v>
      </c>
      <c r="F14" s="27">
        <v>8</v>
      </c>
      <c r="G14" s="20">
        <f t="shared" si="0"/>
        <v>440</v>
      </c>
      <c r="H14" s="28">
        <v>1.2999999999999998</v>
      </c>
      <c r="I14" s="22">
        <f t="shared" si="1"/>
        <v>571.99999999999989</v>
      </c>
      <c r="K14" s="71">
        <f t="shared" si="2"/>
        <v>1.1999999999999997</v>
      </c>
    </row>
    <row r="15" spans="2:11" ht="20.399999999999999" customHeight="1">
      <c r="B15" s="30">
        <v>5010</v>
      </c>
      <c r="C15" s="31" t="s">
        <v>26</v>
      </c>
      <c r="D15" t="s">
        <v>256</v>
      </c>
      <c r="E15" s="26">
        <v>45</v>
      </c>
      <c r="F15" s="27">
        <v>15</v>
      </c>
      <c r="G15" s="20">
        <f t="shared" si="0"/>
        <v>675</v>
      </c>
      <c r="H15" s="32">
        <v>3</v>
      </c>
      <c r="I15" s="22">
        <f t="shared" si="1"/>
        <v>2025</v>
      </c>
      <c r="J15" t="s">
        <v>204</v>
      </c>
      <c r="K15" s="71">
        <f t="shared" si="2"/>
        <v>2.9</v>
      </c>
    </row>
    <row r="16" spans="2:11" ht="20.399999999999999" customHeight="1">
      <c r="B16" s="30">
        <v>5011</v>
      </c>
      <c r="C16" s="31" t="s">
        <v>28</v>
      </c>
      <c r="D16" t="s">
        <v>257</v>
      </c>
      <c r="E16" s="26">
        <v>45</v>
      </c>
      <c r="F16" s="27">
        <v>4</v>
      </c>
      <c r="G16" s="20">
        <f t="shared" si="0"/>
        <v>180</v>
      </c>
      <c r="H16" s="32">
        <v>1.5999999999999999</v>
      </c>
      <c r="I16" s="22">
        <f t="shared" si="1"/>
        <v>288</v>
      </c>
      <c r="J16" t="s">
        <v>204</v>
      </c>
      <c r="K16" s="71">
        <f t="shared" si="2"/>
        <v>1.4999999999999998</v>
      </c>
    </row>
    <row r="17" spans="2:11" ht="20.399999999999999" customHeight="1">
      <c r="B17" s="23">
        <v>5012</v>
      </c>
      <c r="C17" s="24" t="s">
        <v>30</v>
      </c>
      <c r="D17" t="s">
        <v>31</v>
      </c>
      <c r="E17" s="26">
        <v>40</v>
      </c>
      <c r="F17" s="27">
        <v>10</v>
      </c>
      <c r="G17" s="20">
        <f t="shared" si="0"/>
        <v>400</v>
      </c>
      <c r="H17" s="28">
        <v>1.5999999999999999</v>
      </c>
      <c r="I17" s="22">
        <f t="shared" si="1"/>
        <v>640</v>
      </c>
      <c r="K17" s="71">
        <f t="shared" si="2"/>
        <v>1.4999999999999998</v>
      </c>
    </row>
    <row r="18" spans="2:11" ht="20.399999999999999" customHeight="1">
      <c r="B18" s="23">
        <v>5013</v>
      </c>
      <c r="C18" s="24" t="s">
        <v>32</v>
      </c>
      <c r="D18" t="s">
        <v>258</v>
      </c>
      <c r="E18" s="26">
        <v>40</v>
      </c>
      <c r="F18" s="27">
        <v>2</v>
      </c>
      <c r="G18" s="20">
        <f t="shared" si="0"/>
        <v>80</v>
      </c>
      <c r="H18" s="28">
        <v>1.5999999999999999</v>
      </c>
      <c r="I18" s="22">
        <f t="shared" si="1"/>
        <v>127.99999999999999</v>
      </c>
      <c r="J18" t="s">
        <v>204</v>
      </c>
      <c r="K18" s="71">
        <f t="shared" si="2"/>
        <v>1.4999999999999998</v>
      </c>
    </row>
    <row r="19" spans="2:11" ht="20.399999999999999" customHeight="1">
      <c r="B19" s="23">
        <v>5014</v>
      </c>
      <c r="C19" s="24" t="s">
        <v>34</v>
      </c>
      <c r="D19" t="s">
        <v>259</v>
      </c>
      <c r="E19" s="26">
        <v>55</v>
      </c>
      <c r="F19" s="27">
        <v>4</v>
      </c>
      <c r="G19" s="20">
        <f t="shared" si="0"/>
        <v>220</v>
      </c>
      <c r="H19" s="28">
        <v>1.5999999999999999</v>
      </c>
      <c r="I19" s="22">
        <f t="shared" si="1"/>
        <v>351.99999999999994</v>
      </c>
      <c r="K19" s="71">
        <f t="shared" si="2"/>
        <v>1.4999999999999998</v>
      </c>
    </row>
    <row r="20" spans="2:11" ht="20.399999999999999" customHeight="1">
      <c r="B20" s="23">
        <v>5015</v>
      </c>
      <c r="C20" s="33" t="s">
        <v>36</v>
      </c>
      <c r="D20" t="s">
        <v>260</v>
      </c>
      <c r="E20" s="26">
        <v>80</v>
      </c>
      <c r="F20" s="27">
        <v>3</v>
      </c>
      <c r="G20" s="20">
        <f t="shared" si="0"/>
        <v>240</v>
      </c>
      <c r="H20" s="28">
        <v>1.5999999999999999</v>
      </c>
      <c r="I20" s="22">
        <f t="shared" si="1"/>
        <v>383.99999999999994</v>
      </c>
      <c r="K20" s="71">
        <f t="shared" si="2"/>
        <v>1.4999999999999998</v>
      </c>
    </row>
    <row r="21" spans="2:11" ht="20.399999999999999" customHeight="1">
      <c r="B21" s="30">
        <v>5017</v>
      </c>
      <c r="C21" s="31" t="s">
        <v>38</v>
      </c>
      <c r="D21" t="s">
        <v>261</v>
      </c>
      <c r="E21" s="26">
        <v>45</v>
      </c>
      <c r="F21" s="27">
        <v>1</v>
      </c>
      <c r="G21" s="20">
        <f t="shared" si="0"/>
        <v>45</v>
      </c>
      <c r="H21" s="32">
        <v>1.5999999999999999</v>
      </c>
      <c r="I21" s="22">
        <f t="shared" si="1"/>
        <v>72</v>
      </c>
      <c r="K21" s="71">
        <f t="shared" si="2"/>
        <v>1.4999999999999998</v>
      </c>
    </row>
    <row r="22" spans="2:11" ht="20.399999999999999" customHeight="1">
      <c r="B22" s="23">
        <v>5018</v>
      </c>
      <c r="C22" s="24" t="s">
        <v>40</v>
      </c>
      <c r="D22" t="s">
        <v>262</v>
      </c>
      <c r="E22" s="26">
        <v>40</v>
      </c>
      <c r="F22" s="27">
        <v>10</v>
      </c>
      <c r="G22" s="20">
        <f t="shared" si="0"/>
        <v>400</v>
      </c>
      <c r="H22" s="28">
        <v>1.5999999999999999</v>
      </c>
      <c r="I22" s="22">
        <f t="shared" si="1"/>
        <v>640</v>
      </c>
      <c r="J22" t="s">
        <v>204</v>
      </c>
      <c r="K22" s="71">
        <f t="shared" si="2"/>
        <v>1.4999999999999998</v>
      </c>
    </row>
    <row r="23" spans="2:11" ht="20.399999999999999" customHeight="1">
      <c r="B23" s="23">
        <v>5020</v>
      </c>
      <c r="C23" s="24" t="s">
        <v>42</v>
      </c>
      <c r="D23" t="s">
        <v>263</v>
      </c>
      <c r="E23" s="26">
        <v>40</v>
      </c>
      <c r="F23" s="27">
        <v>3</v>
      </c>
      <c r="G23" s="20">
        <f t="shared" si="0"/>
        <v>120</v>
      </c>
      <c r="H23" s="28">
        <v>3</v>
      </c>
      <c r="I23" s="22">
        <f t="shared" si="1"/>
        <v>360</v>
      </c>
      <c r="J23" t="s">
        <v>204</v>
      </c>
      <c r="K23" s="71">
        <f t="shared" si="2"/>
        <v>2.9</v>
      </c>
    </row>
    <row r="24" spans="2:11" ht="20.399999999999999" customHeight="1">
      <c r="B24" s="35">
        <v>5024</v>
      </c>
      <c r="C24" s="36" t="s">
        <v>44</v>
      </c>
      <c r="D24" t="s">
        <v>264</v>
      </c>
      <c r="E24" s="37">
        <v>40</v>
      </c>
      <c r="F24" s="38">
        <v>5</v>
      </c>
      <c r="G24" s="20">
        <f t="shared" si="0"/>
        <v>200</v>
      </c>
      <c r="H24" s="39">
        <v>1.5999999999999999</v>
      </c>
      <c r="I24" s="22">
        <f t="shared" si="1"/>
        <v>320</v>
      </c>
      <c r="K24" s="71">
        <f t="shared" si="2"/>
        <v>1.4999999999999998</v>
      </c>
    </row>
    <row r="25" spans="2:11" ht="20.399999999999999" customHeight="1">
      <c r="B25" s="23">
        <v>5025</v>
      </c>
      <c r="C25" s="33" t="s">
        <v>46</v>
      </c>
      <c r="D25" t="s">
        <v>265</v>
      </c>
      <c r="E25" s="26">
        <v>80</v>
      </c>
      <c r="F25" s="27">
        <v>1</v>
      </c>
      <c r="G25" s="20">
        <f t="shared" si="0"/>
        <v>80</v>
      </c>
      <c r="H25" s="28">
        <v>1.2999999999999998</v>
      </c>
      <c r="I25" s="22">
        <f t="shared" si="1"/>
        <v>103.99999999999999</v>
      </c>
      <c r="J25" t="s">
        <v>204</v>
      </c>
      <c r="K25" s="71">
        <f t="shared" si="2"/>
        <v>1.1999999999999997</v>
      </c>
    </row>
    <row r="26" spans="2:11" ht="20.399999999999999" customHeight="1">
      <c r="B26" s="23">
        <v>5026</v>
      </c>
      <c r="C26" s="24" t="s">
        <v>48</v>
      </c>
      <c r="D26" t="s">
        <v>266</v>
      </c>
      <c r="E26" s="26">
        <v>40</v>
      </c>
      <c r="F26" s="27">
        <v>14</v>
      </c>
      <c r="G26" s="20">
        <f t="shared" si="0"/>
        <v>560</v>
      </c>
      <c r="H26" s="28">
        <v>1.5999999999999999</v>
      </c>
      <c r="I26" s="22">
        <f t="shared" si="1"/>
        <v>895.99999999999989</v>
      </c>
      <c r="K26" s="71">
        <f t="shared" si="2"/>
        <v>1.4999999999999998</v>
      </c>
    </row>
    <row r="27" spans="2:11" ht="20.399999999999999" customHeight="1">
      <c r="B27" s="23">
        <v>5027</v>
      </c>
      <c r="C27" s="24" t="s">
        <v>50</v>
      </c>
      <c r="D27" t="s">
        <v>267</v>
      </c>
      <c r="E27" s="26">
        <v>40</v>
      </c>
      <c r="F27" s="27">
        <v>5</v>
      </c>
      <c r="G27" s="20">
        <f t="shared" si="0"/>
        <v>200</v>
      </c>
      <c r="H27" s="28">
        <v>2</v>
      </c>
      <c r="I27" s="22">
        <f t="shared" si="1"/>
        <v>400</v>
      </c>
      <c r="J27" t="s">
        <v>204</v>
      </c>
      <c r="K27" s="71">
        <f t="shared" si="2"/>
        <v>1.9</v>
      </c>
    </row>
    <row r="28" spans="2:11" ht="20.399999999999999" customHeight="1">
      <c r="B28" s="23">
        <v>5036</v>
      </c>
      <c r="C28" s="24" t="s">
        <v>52</v>
      </c>
      <c r="D28" t="s">
        <v>53</v>
      </c>
      <c r="E28" s="26">
        <v>55</v>
      </c>
      <c r="F28" s="27">
        <v>2</v>
      </c>
      <c r="G28" s="20">
        <f t="shared" si="0"/>
        <v>110</v>
      </c>
      <c r="H28" s="28">
        <v>2</v>
      </c>
      <c r="I28" s="22">
        <f t="shared" si="1"/>
        <v>220</v>
      </c>
      <c r="K28" s="71">
        <f t="shared" si="2"/>
        <v>1.9</v>
      </c>
    </row>
    <row r="29" spans="2:11" ht="20.399999999999999" customHeight="1">
      <c r="B29" s="30">
        <v>5039</v>
      </c>
      <c r="C29" s="31" t="s">
        <v>54</v>
      </c>
      <c r="D29" t="s">
        <v>268</v>
      </c>
      <c r="E29" s="26">
        <v>45</v>
      </c>
      <c r="F29" s="27">
        <v>10</v>
      </c>
      <c r="G29" s="20">
        <f t="shared" si="0"/>
        <v>450</v>
      </c>
      <c r="H29" s="32">
        <v>1.5999999999999999</v>
      </c>
      <c r="I29" s="22">
        <f t="shared" si="1"/>
        <v>719.99999999999989</v>
      </c>
      <c r="K29" s="71">
        <f t="shared" si="2"/>
        <v>1.4999999999999998</v>
      </c>
    </row>
    <row r="30" spans="2:11" ht="20.399999999999999" customHeight="1">
      <c r="B30" s="30">
        <v>5040</v>
      </c>
      <c r="C30" s="31" t="s">
        <v>56</v>
      </c>
      <c r="D30" t="s">
        <v>269</v>
      </c>
      <c r="E30" s="26">
        <v>45</v>
      </c>
      <c r="F30" s="27">
        <v>10</v>
      </c>
      <c r="G30" s="20">
        <f t="shared" si="0"/>
        <v>450</v>
      </c>
      <c r="H30" s="32">
        <v>1.5999999999999999</v>
      </c>
      <c r="I30" s="22">
        <f t="shared" si="1"/>
        <v>719.99999999999989</v>
      </c>
      <c r="J30" t="s">
        <v>204</v>
      </c>
      <c r="K30" s="71">
        <f t="shared" si="2"/>
        <v>1.4999999999999998</v>
      </c>
    </row>
    <row r="31" spans="2:11" ht="20.399999999999999" customHeight="1">
      <c r="B31" s="23">
        <v>5041</v>
      </c>
      <c r="C31" s="24" t="s">
        <v>58</v>
      </c>
      <c r="D31" t="s">
        <v>270</v>
      </c>
      <c r="E31" s="26">
        <v>40</v>
      </c>
      <c r="F31" s="27">
        <v>6</v>
      </c>
      <c r="G31" s="20">
        <f t="shared" si="0"/>
        <v>240</v>
      </c>
      <c r="H31" s="28">
        <v>1.5999999999999999</v>
      </c>
      <c r="I31" s="22">
        <f t="shared" si="1"/>
        <v>383.99999999999994</v>
      </c>
      <c r="J31" t="s">
        <v>204</v>
      </c>
      <c r="K31" s="71">
        <f t="shared" si="2"/>
        <v>1.4999999999999998</v>
      </c>
    </row>
    <row r="32" spans="2:11" ht="20.399999999999999" customHeight="1">
      <c r="B32" s="41">
        <v>5043</v>
      </c>
      <c r="C32" s="42" t="s">
        <v>60</v>
      </c>
      <c r="D32" t="s">
        <v>61</v>
      </c>
      <c r="E32" s="42">
        <v>40</v>
      </c>
      <c r="F32" s="42">
        <v>4</v>
      </c>
      <c r="G32" s="20">
        <f t="shared" si="0"/>
        <v>160</v>
      </c>
      <c r="H32" s="43">
        <v>1.5999999999999999</v>
      </c>
      <c r="I32" s="22">
        <f t="shared" si="1"/>
        <v>255.99999999999997</v>
      </c>
      <c r="K32" s="71">
        <f t="shared" si="2"/>
        <v>1.4999999999999998</v>
      </c>
    </row>
    <row r="33" spans="2:11" ht="20.399999999999999" customHeight="1">
      <c r="B33" s="30">
        <v>5051</v>
      </c>
      <c r="C33" s="31" t="s">
        <v>62</v>
      </c>
      <c r="D33" t="s">
        <v>271</v>
      </c>
      <c r="E33" s="26">
        <v>45</v>
      </c>
      <c r="F33" s="27">
        <v>1</v>
      </c>
      <c r="G33" s="20">
        <f t="shared" si="0"/>
        <v>45</v>
      </c>
      <c r="H33" s="32">
        <v>1.5999999999999999</v>
      </c>
      <c r="I33" s="22">
        <f t="shared" si="1"/>
        <v>72</v>
      </c>
      <c r="J33" t="s">
        <v>204</v>
      </c>
      <c r="K33" s="71">
        <f t="shared" si="2"/>
        <v>1.4999999999999998</v>
      </c>
    </row>
    <row r="34" spans="2:11" ht="20.399999999999999" customHeight="1">
      <c r="B34" s="30">
        <v>5052</v>
      </c>
      <c r="C34" s="31" t="s">
        <v>64</v>
      </c>
      <c r="D34" t="s">
        <v>272</v>
      </c>
      <c r="E34" s="26">
        <v>45</v>
      </c>
      <c r="F34" s="27">
        <v>5</v>
      </c>
      <c r="G34" s="20">
        <f t="shared" si="0"/>
        <v>225</v>
      </c>
      <c r="H34" s="32">
        <v>1.5999999999999999</v>
      </c>
      <c r="I34" s="22">
        <f t="shared" si="1"/>
        <v>359.99999999999994</v>
      </c>
      <c r="J34" t="s">
        <v>204</v>
      </c>
      <c r="K34" s="71">
        <f t="shared" si="2"/>
        <v>1.4999999999999998</v>
      </c>
    </row>
    <row r="35" spans="2:11" ht="20.399999999999999" customHeight="1">
      <c r="B35" s="23">
        <v>5057</v>
      </c>
      <c r="C35" s="24" t="s">
        <v>66</v>
      </c>
      <c r="D35" t="s">
        <v>273</v>
      </c>
      <c r="E35" s="26">
        <v>40</v>
      </c>
      <c r="F35" s="27">
        <v>2</v>
      </c>
      <c r="G35" s="20">
        <f t="shared" si="0"/>
        <v>80</v>
      </c>
      <c r="H35" s="28">
        <v>2</v>
      </c>
      <c r="I35" s="22">
        <f t="shared" si="1"/>
        <v>160</v>
      </c>
      <c r="J35" t="s">
        <v>204</v>
      </c>
      <c r="K35" s="71">
        <f t="shared" si="2"/>
        <v>1.9</v>
      </c>
    </row>
    <row r="36" spans="2:11" ht="20.399999999999999" customHeight="1">
      <c r="B36" s="23">
        <v>5058</v>
      </c>
      <c r="C36" s="24" t="s">
        <v>68</v>
      </c>
      <c r="D36" t="s">
        <v>274</v>
      </c>
      <c r="E36" s="26">
        <v>55</v>
      </c>
      <c r="F36" s="27">
        <v>2</v>
      </c>
      <c r="G36" s="20">
        <f t="shared" si="0"/>
        <v>110</v>
      </c>
      <c r="H36" s="28">
        <v>3</v>
      </c>
      <c r="I36" s="22">
        <f t="shared" si="1"/>
        <v>330</v>
      </c>
      <c r="K36" s="71">
        <f t="shared" si="2"/>
        <v>2.9</v>
      </c>
    </row>
    <row r="37" spans="2:11" ht="20.399999999999999" customHeight="1">
      <c r="B37" s="23">
        <v>5060</v>
      </c>
      <c r="C37" s="24" t="s">
        <v>70</v>
      </c>
      <c r="D37" t="s">
        <v>275</v>
      </c>
      <c r="E37" s="26">
        <v>40</v>
      </c>
      <c r="F37" s="27">
        <v>15</v>
      </c>
      <c r="G37" s="20">
        <f t="shared" si="0"/>
        <v>600</v>
      </c>
      <c r="H37" s="28">
        <v>3</v>
      </c>
      <c r="I37" s="22">
        <f t="shared" si="1"/>
        <v>1800</v>
      </c>
      <c r="K37" s="71">
        <f t="shared" si="2"/>
        <v>2.9</v>
      </c>
    </row>
    <row r="38" spans="2:11" ht="20.399999999999999" customHeight="1">
      <c r="B38" s="23">
        <v>5061</v>
      </c>
      <c r="C38" s="33" t="s">
        <v>72</v>
      </c>
      <c r="D38" t="s">
        <v>276</v>
      </c>
      <c r="E38" s="26">
        <v>80</v>
      </c>
      <c r="F38" s="27">
        <v>5</v>
      </c>
      <c r="G38" s="20">
        <f t="shared" si="0"/>
        <v>400</v>
      </c>
      <c r="H38" s="28">
        <v>1.2999999999999998</v>
      </c>
      <c r="I38" s="22">
        <f t="shared" si="1"/>
        <v>519.99999999999989</v>
      </c>
      <c r="K38" s="71">
        <f t="shared" si="2"/>
        <v>1.1999999999999997</v>
      </c>
    </row>
    <row r="39" spans="2:11" ht="20.399999999999999" customHeight="1">
      <c r="B39" s="30">
        <v>5062</v>
      </c>
      <c r="C39" s="31" t="s">
        <v>74</v>
      </c>
      <c r="D39" t="s">
        <v>277</v>
      </c>
      <c r="E39" s="26">
        <v>45</v>
      </c>
      <c r="F39" s="27">
        <v>15</v>
      </c>
      <c r="G39" s="20">
        <f t="shared" si="0"/>
        <v>675</v>
      </c>
      <c r="H39" s="32">
        <v>1.5999999999999999</v>
      </c>
      <c r="I39" s="22">
        <f t="shared" si="1"/>
        <v>1080</v>
      </c>
      <c r="K39" s="71">
        <f t="shared" si="2"/>
        <v>1.4999999999999998</v>
      </c>
    </row>
    <row r="40" spans="2:11" ht="20.399999999999999" customHeight="1">
      <c r="B40" s="23">
        <v>5070</v>
      </c>
      <c r="C40" s="24" t="s">
        <v>76</v>
      </c>
      <c r="D40" t="s">
        <v>278</v>
      </c>
      <c r="E40" s="26">
        <v>40</v>
      </c>
      <c r="F40" s="27">
        <v>70</v>
      </c>
      <c r="G40" s="20">
        <f t="shared" si="0"/>
        <v>2800</v>
      </c>
      <c r="H40" s="28">
        <v>1.5999999999999999</v>
      </c>
      <c r="I40" s="22">
        <f t="shared" si="1"/>
        <v>4480</v>
      </c>
      <c r="J40" t="s">
        <v>204</v>
      </c>
      <c r="K40" s="71">
        <f t="shared" si="2"/>
        <v>1.4999999999999998</v>
      </c>
    </row>
    <row r="41" spans="2:11" ht="20.399999999999999" customHeight="1">
      <c r="B41" s="23">
        <v>5073</v>
      </c>
      <c r="C41" s="24" t="s">
        <v>78</v>
      </c>
      <c r="D41" t="s">
        <v>79</v>
      </c>
      <c r="E41" s="26">
        <v>55</v>
      </c>
      <c r="F41" s="27">
        <v>5</v>
      </c>
      <c r="G41" s="20">
        <f t="shared" si="0"/>
        <v>275</v>
      </c>
      <c r="H41" s="28">
        <v>1.5999999999999999</v>
      </c>
      <c r="I41" s="22">
        <f t="shared" si="1"/>
        <v>439.99999999999994</v>
      </c>
      <c r="J41" t="s">
        <v>204</v>
      </c>
      <c r="K41" s="71">
        <f t="shared" si="2"/>
        <v>1.4999999999999998</v>
      </c>
    </row>
    <row r="42" spans="2:11" ht="20.399999999999999" customHeight="1">
      <c r="B42" s="23">
        <v>5074</v>
      </c>
      <c r="C42" s="24" t="s">
        <v>80</v>
      </c>
      <c r="D42" t="s">
        <v>279</v>
      </c>
      <c r="E42" s="26">
        <v>40</v>
      </c>
      <c r="F42" s="27">
        <v>12</v>
      </c>
      <c r="G42" s="20">
        <f t="shared" si="0"/>
        <v>480</v>
      </c>
      <c r="H42" s="28">
        <v>1.5999999999999999</v>
      </c>
      <c r="I42" s="22">
        <f t="shared" si="1"/>
        <v>767.99999999999989</v>
      </c>
      <c r="J42" t="s">
        <v>204</v>
      </c>
      <c r="K42" s="71">
        <f t="shared" si="2"/>
        <v>1.4999999999999998</v>
      </c>
    </row>
    <row r="43" spans="2:11" ht="20.399999999999999" customHeight="1">
      <c r="B43" s="23">
        <v>5075</v>
      </c>
      <c r="C43" s="24" t="s">
        <v>82</v>
      </c>
      <c r="D43" t="s">
        <v>280</v>
      </c>
      <c r="E43" s="26">
        <v>40</v>
      </c>
      <c r="F43" s="27">
        <v>23</v>
      </c>
      <c r="G43" s="20">
        <f t="shared" si="0"/>
        <v>920</v>
      </c>
      <c r="H43" s="28">
        <v>1.5999999999999999</v>
      </c>
      <c r="I43" s="22">
        <f t="shared" si="1"/>
        <v>1471.9999999999998</v>
      </c>
      <c r="J43" t="s">
        <v>204</v>
      </c>
      <c r="K43" s="71">
        <f t="shared" si="2"/>
        <v>1.4999999999999998</v>
      </c>
    </row>
    <row r="44" spans="2:11" ht="20.399999999999999" customHeight="1">
      <c r="B44" s="23">
        <v>5076</v>
      </c>
      <c r="C44" s="24" t="s">
        <v>84</v>
      </c>
      <c r="D44" t="s">
        <v>85</v>
      </c>
      <c r="E44" s="26">
        <v>55</v>
      </c>
      <c r="F44" s="27">
        <v>6</v>
      </c>
      <c r="G44" s="20">
        <f t="shared" si="0"/>
        <v>330</v>
      </c>
      <c r="H44" s="28">
        <v>0.9</v>
      </c>
      <c r="I44" s="22">
        <f t="shared" si="1"/>
        <v>297</v>
      </c>
      <c r="J44" t="s">
        <v>204</v>
      </c>
      <c r="K44" s="71">
        <f t="shared" si="2"/>
        <v>0.8</v>
      </c>
    </row>
    <row r="45" spans="2:11" ht="20.399999999999999" customHeight="1">
      <c r="B45" s="23">
        <v>5078</v>
      </c>
      <c r="C45" s="24" t="s">
        <v>86</v>
      </c>
      <c r="D45" t="s">
        <v>87</v>
      </c>
      <c r="E45" s="26">
        <v>55</v>
      </c>
      <c r="F45" s="27">
        <v>10</v>
      </c>
      <c r="G45" s="20">
        <f t="shared" si="0"/>
        <v>550</v>
      </c>
      <c r="H45" s="28">
        <v>0.9</v>
      </c>
      <c r="I45" s="22">
        <f t="shared" si="1"/>
        <v>495</v>
      </c>
      <c r="J45" t="s">
        <v>204</v>
      </c>
      <c r="K45" s="71">
        <f t="shared" si="2"/>
        <v>0.8</v>
      </c>
    </row>
    <row r="46" spans="2:11" ht="20.399999999999999" customHeight="1">
      <c r="B46" s="23">
        <v>5079</v>
      </c>
      <c r="C46" s="24" t="s">
        <v>88</v>
      </c>
      <c r="D46" t="s">
        <v>281</v>
      </c>
      <c r="E46" s="26">
        <v>40</v>
      </c>
      <c r="F46" s="27">
        <v>11</v>
      </c>
      <c r="G46" s="20">
        <f t="shared" si="0"/>
        <v>440</v>
      </c>
      <c r="H46" s="28">
        <v>1.5999999999999999</v>
      </c>
      <c r="I46" s="22">
        <f t="shared" si="1"/>
        <v>703.99999999999989</v>
      </c>
      <c r="J46" t="s">
        <v>204</v>
      </c>
      <c r="K46" s="71">
        <f t="shared" si="2"/>
        <v>1.4999999999999998</v>
      </c>
    </row>
    <row r="47" spans="2:11" ht="20.399999999999999" customHeight="1">
      <c r="B47" s="35">
        <v>5088</v>
      </c>
      <c r="C47" s="36" t="s">
        <v>90</v>
      </c>
      <c r="D47" t="s">
        <v>282</v>
      </c>
      <c r="E47" s="37">
        <v>40</v>
      </c>
      <c r="F47" s="38">
        <v>2</v>
      </c>
      <c r="G47" s="20">
        <f t="shared" si="0"/>
        <v>80</v>
      </c>
      <c r="H47" s="39">
        <v>1.5999999999999999</v>
      </c>
      <c r="I47" s="22">
        <f t="shared" si="1"/>
        <v>127.99999999999999</v>
      </c>
      <c r="J47" t="s">
        <v>204</v>
      </c>
      <c r="K47" s="71">
        <f t="shared" si="2"/>
        <v>1.4999999999999998</v>
      </c>
    </row>
    <row r="48" spans="2:11" ht="20.399999999999999" customHeight="1">
      <c r="B48" s="23">
        <v>5089</v>
      </c>
      <c r="C48" s="24" t="s">
        <v>92</v>
      </c>
      <c r="D48" t="s">
        <v>283</v>
      </c>
      <c r="E48" s="26">
        <v>40</v>
      </c>
      <c r="F48" s="27">
        <v>10</v>
      </c>
      <c r="G48" s="20">
        <f t="shared" si="0"/>
        <v>400</v>
      </c>
      <c r="H48" s="28">
        <v>1.5999999999999999</v>
      </c>
      <c r="I48" s="22">
        <f t="shared" si="1"/>
        <v>640</v>
      </c>
      <c r="J48" t="s">
        <v>204</v>
      </c>
      <c r="K48" s="71">
        <f t="shared" si="2"/>
        <v>1.4999999999999998</v>
      </c>
    </row>
    <row r="49" spans="2:11" ht="20.399999999999999" customHeight="1">
      <c r="B49" s="23">
        <v>5090</v>
      </c>
      <c r="C49" s="24" t="s">
        <v>94</v>
      </c>
      <c r="D49" t="s">
        <v>284</v>
      </c>
      <c r="E49" s="26">
        <v>25</v>
      </c>
      <c r="F49" s="27">
        <v>12</v>
      </c>
      <c r="G49" s="20">
        <f t="shared" si="0"/>
        <v>300</v>
      </c>
      <c r="H49" s="28">
        <v>1.5999999999999999</v>
      </c>
      <c r="I49" s="22">
        <f t="shared" si="1"/>
        <v>479.99999999999994</v>
      </c>
      <c r="J49" t="s">
        <v>204</v>
      </c>
      <c r="K49" s="71">
        <f t="shared" si="2"/>
        <v>1.4999999999999998</v>
      </c>
    </row>
    <row r="50" spans="2:11" ht="20.399999999999999" customHeight="1">
      <c r="B50" s="23">
        <v>5092</v>
      </c>
      <c r="C50" s="24" t="s">
        <v>96</v>
      </c>
      <c r="D50" t="s">
        <v>285</v>
      </c>
      <c r="E50" s="26">
        <v>100</v>
      </c>
      <c r="F50" s="27">
        <v>1</v>
      </c>
      <c r="G50" s="20">
        <f t="shared" si="0"/>
        <v>100</v>
      </c>
      <c r="H50" s="28">
        <v>0.8</v>
      </c>
      <c r="I50" s="22">
        <f t="shared" si="1"/>
        <v>80</v>
      </c>
      <c r="J50" t="s">
        <v>204</v>
      </c>
      <c r="K50" s="71">
        <f t="shared" si="2"/>
        <v>0.70000000000000007</v>
      </c>
    </row>
    <row r="51" spans="2:11" ht="20.399999999999999" customHeight="1">
      <c r="B51" s="23">
        <v>5093</v>
      </c>
      <c r="C51" s="24" t="s">
        <v>98</v>
      </c>
      <c r="D51" t="s">
        <v>286</v>
      </c>
      <c r="E51" s="26">
        <v>25</v>
      </c>
      <c r="F51" s="27">
        <v>12</v>
      </c>
      <c r="G51" s="20">
        <f t="shared" si="0"/>
        <v>300</v>
      </c>
      <c r="H51" s="28">
        <v>0.9</v>
      </c>
      <c r="I51" s="22">
        <f t="shared" si="1"/>
        <v>270</v>
      </c>
      <c r="J51" t="s">
        <v>204</v>
      </c>
      <c r="K51" s="71">
        <f t="shared" si="2"/>
        <v>0.8</v>
      </c>
    </row>
    <row r="52" spans="2:11" ht="20.399999999999999" customHeight="1">
      <c r="B52" s="23">
        <v>5094</v>
      </c>
      <c r="C52" s="33" t="s">
        <v>100</v>
      </c>
      <c r="D52" t="s">
        <v>287</v>
      </c>
      <c r="E52" s="26">
        <v>80</v>
      </c>
      <c r="F52" s="27">
        <v>9</v>
      </c>
      <c r="G52" s="20">
        <f t="shared" si="0"/>
        <v>720</v>
      </c>
      <c r="H52" s="28">
        <v>1.5999999999999999</v>
      </c>
      <c r="I52" s="22">
        <f t="shared" si="1"/>
        <v>1152</v>
      </c>
      <c r="K52" s="71">
        <f t="shared" si="2"/>
        <v>1.4999999999999998</v>
      </c>
    </row>
    <row r="53" spans="2:11" ht="20.399999999999999" customHeight="1">
      <c r="B53" s="23">
        <v>5095</v>
      </c>
      <c r="C53" s="24" t="s">
        <v>102</v>
      </c>
      <c r="D53" t="s">
        <v>288</v>
      </c>
      <c r="E53" s="26">
        <v>40</v>
      </c>
      <c r="F53" s="27">
        <v>5</v>
      </c>
      <c r="G53" s="20">
        <f t="shared" si="0"/>
        <v>200</v>
      </c>
      <c r="H53" s="28">
        <v>1.5999999999999999</v>
      </c>
      <c r="I53" s="22">
        <f t="shared" si="1"/>
        <v>320</v>
      </c>
      <c r="K53" s="71">
        <f t="shared" si="2"/>
        <v>1.4999999999999998</v>
      </c>
    </row>
    <row r="54" spans="2:11" ht="20.399999999999999" customHeight="1">
      <c r="B54" s="23">
        <v>5096</v>
      </c>
      <c r="C54" s="24" t="s">
        <v>104</v>
      </c>
      <c r="D54" t="s">
        <v>289</v>
      </c>
      <c r="E54" s="26">
        <v>40</v>
      </c>
      <c r="F54" s="27">
        <v>14</v>
      </c>
      <c r="G54" s="20">
        <f t="shared" si="0"/>
        <v>560</v>
      </c>
      <c r="H54" s="28">
        <v>3</v>
      </c>
      <c r="I54" s="22">
        <f t="shared" si="1"/>
        <v>1680</v>
      </c>
      <c r="J54" t="s">
        <v>204</v>
      </c>
      <c r="K54" s="71">
        <f t="shared" si="2"/>
        <v>2.9</v>
      </c>
    </row>
    <row r="55" spans="2:11" ht="20.399999999999999" customHeight="1">
      <c r="B55" s="30">
        <v>5097</v>
      </c>
      <c r="C55" s="31" t="s">
        <v>106</v>
      </c>
      <c r="D55" t="s">
        <v>290</v>
      </c>
      <c r="E55" s="26">
        <v>45</v>
      </c>
      <c r="F55" s="27">
        <v>1</v>
      </c>
      <c r="G55" s="20">
        <f t="shared" si="0"/>
        <v>45</v>
      </c>
      <c r="H55" s="32">
        <v>1.5999999999999999</v>
      </c>
      <c r="I55" s="22">
        <f t="shared" si="1"/>
        <v>72</v>
      </c>
      <c r="J55" t="s">
        <v>204</v>
      </c>
      <c r="K55" s="71">
        <f t="shared" si="2"/>
        <v>1.4999999999999998</v>
      </c>
    </row>
    <row r="56" spans="2:11" ht="20.399999999999999" customHeight="1">
      <c r="B56" s="35">
        <v>5099</v>
      </c>
      <c r="C56" s="36" t="s">
        <v>108</v>
      </c>
      <c r="D56" t="s">
        <v>291</v>
      </c>
      <c r="E56" s="37">
        <v>40</v>
      </c>
      <c r="F56" s="38">
        <v>10</v>
      </c>
      <c r="G56" s="20">
        <f t="shared" si="0"/>
        <v>400</v>
      </c>
      <c r="H56" s="39">
        <v>1.5999999999999999</v>
      </c>
      <c r="I56" s="22">
        <f t="shared" si="1"/>
        <v>640</v>
      </c>
      <c r="K56" s="71">
        <f t="shared" si="2"/>
        <v>1.4999999999999998</v>
      </c>
    </row>
    <row r="57" spans="2:11" ht="20.399999999999999" customHeight="1">
      <c r="B57" s="41">
        <v>5100</v>
      </c>
      <c r="C57" s="42" t="s">
        <v>110</v>
      </c>
      <c r="D57" t="s">
        <v>292</v>
      </c>
      <c r="E57" s="42">
        <v>40</v>
      </c>
      <c r="F57" s="42">
        <v>1</v>
      </c>
      <c r="G57" s="20">
        <f t="shared" si="0"/>
        <v>40</v>
      </c>
      <c r="H57" s="43">
        <v>3.5</v>
      </c>
      <c r="I57" s="22">
        <f t="shared" si="1"/>
        <v>140</v>
      </c>
      <c r="K57" s="71">
        <f t="shared" si="2"/>
        <v>3.4</v>
      </c>
    </row>
    <row r="58" spans="2:11" ht="20.399999999999999" customHeight="1">
      <c r="B58" s="23">
        <v>5102</v>
      </c>
      <c r="C58" s="24" t="s">
        <v>112</v>
      </c>
      <c r="D58" t="s">
        <v>293</v>
      </c>
      <c r="E58" s="26">
        <v>40</v>
      </c>
      <c r="F58" s="27">
        <v>5</v>
      </c>
      <c r="G58" s="20">
        <f t="shared" si="0"/>
        <v>200</v>
      </c>
      <c r="H58" s="28">
        <v>3.5</v>
      </c>
      <c r="I58" s="22">
        <f t="shared" si="1"/>
        <v>700</v>
      </c>
      <c r="J58" t="s">
        <v>204</v>
      </c>
      <c r="K58" s="71">
        <f t="shared" si="2"/>
        <v>3.4</v>
      </c>
    </row>
    <row r="59" spans="2:11" ht="20.399999999999999" customHeight="1">
      <c r="B59" s="35">
        <v>5104</v>
      </c>
      <c r="C59" s="45" t="s">
        <v>114</v>
      </c>
      <c r="D59" t="s">
        <v>294</v>
      </c>
      <c r="E59" s="37">
        <v>40</v>
      </c>
      <c r="F59" s="38">
        <v>1</v>
      </c>
      <c r="G59" s="20">
        <f t="shared" si="0"/>
        <v>40</v>
      </c>
      <c r="H59" s="39">
        <v>1.5999999999999999</v>
      </c>
      <c r="I59" s="22">
        <f t="shared" si="1"/>
        <v>63.999999999999993</v>
      </c>
      <c r="J59" t="s">
        <v>204</v>
      </c>
      <c r="K59" s="71">
        <f t="shared" si="2"/>
        <v>1.4999999999999998</v>
      </c>
    </row>
    <row r="60" spans="2:11" ht="20.399999999999999" customHeight="1">
      <c r="B60" s="23">
        <v>5105</v>
      </c>
      <c r="C60" s="24" t="s">
        <v>116</v>
      </c>
      <c r="D60" t="s">
        <v>295</v>
      </c>
      <c r="E60" s="26">
        <v>25</v>
      </c>
      <c r="F60" s="27">
        <v>3</v>
      </c>
      <c r="G60" s="20">
        <f t="shared" si="0"/>
        <v>75</v>
      </c>
      <c r="H60" s="28">
        <v>1.5999999999999999</v>
      </c>
      <c r="I60" s="22">
        <f t="shared" si="1"/>
        <v>119.99999999999999</v>
      </c>
      <c r="K60" s="71">
        <f t="shared" si="2"/>
        <v>1.4999999999999998</v>
      </c>
    </row>
    <row r="61" spans="2:11" ht="20.399999999999999" customHeight="1">
      <c r="B61" s="23">
        <v>5106</v>
      </c>
      <c r="C61" s="33" t="s">
        <v>118</v>
      </c>
      <c r="D61" t="s">
        <v>296</v>
      </c>
      <c r="E61" s="26">
        <v>80</v>
      </c>
      <c r="F61" s="27">
        <v>5</v>
      </c>
      <c r="G61" s="20">
        <f t="shared" si="0"/>
        <v>400</v>
      </c>
      <c r="H61" s="28">
        <v>3</v>
      </c>
      <c r="I61" s="22">
        <f t="shared" si="1"/>
        <v>1200</v>
      </c>
      <c r="K61" s="71">
        <f t="shared" si="2"/>
        <v>2.9</v>
      </c>
    </row>
    <row r="62" spans="2:11" ht="20.399999999999999" customHeight="1">
      <c r="B62" s="23">
        <v>5107</v>
      </c>
      <c r="C62" s="46" t="s">
        <v>120</v>
      </c>
      <c r="D62" t="s">
        <v>297</v>
      </c>
      <c r="E62" s="26">
        <v>80</v>
      </c>
      <c r="F62" s="27">
        <v>10</v>
      </c>
      <c r="G62" s="20">
        <f t="shared" si="0"/>
        <v>800</v>
      </c>
      <c r="H62" s="28">
        <v>1.2999999999999998</v>
      </c>
      <c r="I62" s="22">
        <f t="shared" si="1"/>
        <v>1039.9999999999998</v>
      </c>
      <c r="K62" s="71">
        <f t="shared" si="2"/>
        <v>1.1999999999999997</v>
      </c>
    </row>
    <row r="63" spans="2:11" ht="20.399999999999999" customHeight="1">
      <c r="B63" s="23">
        <v>5108</v>
      </c>
      <c r="C63" s="24" t="s">
        <v>122</v>
      </c>
      <c r="D63" t="s">
        <v>298</v>
      </c>
      <c r="E63" s="26">
        <v>40</v>
      </c>
      <c r="F63" s="27">
        <v>3</v>
      </c>
      <c r="G63" s="20">
        <f t="shared" si="0"/>
        <v>120</v>
      </c>
      <c r="H63" s="28">
        <v>1.5999999999999999</v>
      </c>
      <c r="I63" s="22">
        <f t="shared" si="1"/>
        <v>191.99999999999997</v>
      </c>
      <c r="J63" t="s">
        <v>204</v>
      </c>
      <c r="K63" s="71">
        <f t="shared" si="2"/>
        <v>1.4999999999999998</v>
      </c>
    </row>
    <row r="64" spans="2:11" ht="20.399999999999999" customHeight="1">
      <c r="B64" s="30">
        <v>5109</v>
      </c>
      <c r="C64" s="31" t="s">
        <v>124</v>
      </c>
      <c r="D64" t="s">
        <v>298</v>
      </c>
      <c r="E64" s="26">
        <v>45</v>
      </c>
      <c r="F64" s="27">
        <v>2</v>
      </c>
      <c r="G64" s="20">
        <f t="shared" si="0"/>
        <v>90</v>
      </c>
      <c r="H64" s="32">
        <v>1.5999999999999999</v>
      </c>
      <c r="I64" s="22">
        <f t="shared" si="1"/>
        <v>144</v>
      </c>
      <c r="K64" s="71">
        <f t="shared" si="2"/>
        <v>1.4999999999999998</v>
      </c>
    </row>
    <row r="65" spans="2:11" ht="20.399999999999999" customHeight="1">
      <c r="B65" s="30">
        <v>5110</v>
      </c>
      <c r="C65" s="31" t="s">
        <v>125</v>
      </c>
      <c r="D65" t="s">
        <v>126</v>
      </c>
      <c r="E65" s="26">
        <v>45</v>
      </c>
      <c r="F65" s="27">
        <v>3</v>
      </c>
      <c r="G65" s="20">
        <f t="shared" si="0"/>
        <v>135</v>
      </c>
      <c r="H65" s="32">
        <v>1.5999999999999999</v>
      </c>
      <c r="I65" s="22">
        <f t="shared" si="1"/>
        <v>215.99999999999997</v>
      </c>
      <c r="J65" t="s">
        <v>204</v>
      </c>
      <c r="K65" s="71">
        <f t="shared" si="2"/>
        <v>1.4999999999999998</v>
      </c>
    </row>
    <row r="66" spans="2:11" ht="20.399999999999999" customHeight="1">
      <c r="B66" s="41">
        <v>5111</v>
      </c>
      <c r="C66" s="42" t="s">
        <v>127</v>
      </c>
      <c r="D66" t="s">
        <v>299</v>
      </c>
      <c r="E66" s="42">
        <v>40</v>
      </c>
      <c r="F66" s="42">
        <v>39</v>
      </c>
      <c r="G66" s="20">
        <f t="shared" si="0"/>
        <v>1560</v>
      </c>
      <c r="H66" s="43">
        <v>2</v>
      </c>
      <c r="I66" s="22">
        <f t="shared" si="1"/>
        <v>3120</v>
      </c>
      <c r="K66" s="71">
        <f t="shared" si="2"/>
        <v>1.9</v>
      </c>
    </row>
    <row r="67" spans="2:11" ht="20.399999999999999" customHeight="1">
      <c r="B67" s="23">
        <v>5118</v>
      </c>
      <c r="C67" s="24" t="s">
        <v>129</v>
      </c>
      <c r="D67" t="s">
        <v>300</v>
      </c>
      <c r="E67" s="26">
        <v>25</v>
      </c>
      <c r="F67" s="27">
        <v>4</v>
      </c>
      <c r="G67" s="20">
        <f t="shared" si="0"/>
        <v>100</v>
      </c>
      <c r="H67" s="28">
        <v>3</v>
      </c>
      <c r="I67" s="22">
        <f t="shared" si="1"/>
        <v>300</v>
      </c>
      <c r="J67" t="s">
        <v>204</v>
      </c>
      <c r="K67" s="71">
        <f t="shared" si="2"/>
        <v>2.9</v>
      </c>
    </row>
    <row r="68" spans="2:11" ht="20.399999999999999" customHeight="1">
      <c r="B68" s="23">
        <v>5122</v>
      </c>
      <c r="C68" s="24" t="s">
        <v>131</v>
      </c>
      <c r="D68" t="s">
        <v>301</v>
      </c>
      <c r="E68" s="26">
        <v>40</v>
      </c>
      <c r="F68" s="27">
        <v>10</v>
      </c>
      <c r="G68" s="20">
        <f t="shared" si="0"/>
        <v>400</v>
      </c>
      <c r="H68" s="28">
        <v>1.5999999999999999</v>
      </c>
      <c r="I68" s="22">
        <f t="shared" si="1"/>
        <v>640</v>
      </c>
      <c r="K68" s="71">
        <f t="shared" si="2"/>
        <v>1.4999999999999998</v>
      </c>
    </row>
    <row r="69" spans="2:11" ht="20.399999999999999" customHeight="1" thickBot="1">
      <c r="B69" s="47">
        <v>400</v>
      </c>
      <c r="C69" s="48" t="s">
        <v>133</v>
      </c>
      <c r="D69" t="s">
        <v>302</v>
      </c>
      <c r="E69" s="48">
        <v>22</v>
      </c>
      <c r="F69" s="49">
        <v>70</v>
      </c>
      <c r="G69" s="20">
        <f t="shared" si="0"/>
        <v>1540</v>
      </c>
      <c r="H69" s="50">
        <v>3</v>
      </c>
      <c r="I69" s="22">
        <f t="shared" si="1"/>
        <v>4620</v>
      </c>
      <c r="K69" s="71">
        <f t="shared" si="2"/>
        <v>2.9</v>
      </c>
    </row>
    <row r="70" spans="2:11" ht="22.8" customHeight="1" thickBot="1">
      <c r="B70" s="5"/>
      <c r="C70" s="10"/>
      <c r="D70" s="138" t="s">
        <v>303</v>
      </c>
      <c r="E70" s="10"/>
      <c r="F70" s="12"/>
      <c r="G70" s="13"/>
      <c r="H70" s="12"/>
      <c r="I70" s="12"/>
    </row>
    <row r="71" spans="2:11" ht="18">
      <c r="B71" s="51">
        <v>514</v>
      </c>
      <c r="C71" s="52" t="s">
        <v>136</v>
      </c>
      <c r="D71" t="s">
        <v>304</v>
      </c>
      <c r="E71" s="18">
        <v>80</v>
      </c>
      <c r="F71" s="19">
        <v>2</v>
      </c>
      <c r="G71" s="20">
        <f>E71*F71</f>
        <v>160</v>
      </c>
      <c r="H71" s="21">
        <v>1.5999999999999999</v>
      </c>
      <c r="I71" s="22">
        <f>G71*H71</f>
        <v>255.99999999999997</v>
      </c>
      <c r="K71" s="71">
        <f>H71-0.1</f>
        <v>1.4999999999999998</v>
      </c>
    </row>
    <row r="72" spans="2:11" ht="18.600000000000001" thickBot="1">
      <c r="B72" s="53">
        <v>580</v>
      </c>
      <c r="C72" s="54" t="s">
        <v>138</v>
      </c>
      <c r="D72" t="s">
        <v>305</v>
      </c>
      <c r="E72" s="55">
        <v>80</v>
      </c>
      <c r="F72" s="56">
        <v>10</v>
      </c>
      <c r="G72" s="20">
        <f>E72*F72</f>
        <v>800</v>
      </c>
      <c r="H72" s="57">
        <v>1.5999999999999999</v>
      </c>
      <c r="I72" s="22">
        <f>G72*H72</f>
        <v>1280</v>
      </c>
      <c r="K72" s="71">
        <f>H72-0.1</f>
        <v>1.4999999999999998</v>
      </c>
    </row>
    <row r="73" spans="2:11" ht="22.8" customHeight="1" thickBot="1">
      <c r="B73" s="5"/>
      <c r="C73" s="10"/>
      <c r="D73" s="138" t="s">
        <v>306</v>
      </c>
      <c r="E73" s="10"/>
      <c r="F73" s="12"/>
      <c r="G73" s="13"/>
      <c r="H73" s="12"/>
      <c r="I73" s="12"/>
    </row>
    <row r="74" spans="2:11" ht="20.399999999999999" customHeight="1">
      <c r="B74" s="51">
        <v>301</v>
      </c>
      <c r="C74" s="16" t="s">
        <v>141</v>
      </c>
      <c r="D74" t="s">
        <v>307</v>
      </c>
      <c r="E74" s="18">
        <v>45</v>
      </c>
      <c r="F74" s="19">
        <v>20</v>
      </c>
      <c r="G74" s="20">
        <f>E74*F74</f>
        <v>900</v>
      </c>
      <c r="H74" s="21">
        <v>0.79999999999999993</v>
      </c>
      <c r="I74" s="22">
        <f>G74*H74</f>
        <v>719.99999999999989</v>
      </c>
      <c r="J74" t="s">
        <v>204</v>
      </c>
      <c r="K74" s="71">
        <f>H74-0.05</f>
        <v>0.74999999999999989</v>
      </c>
    </row>
    <row r="75" spans="2:11" ht="20.399999999999999" customHeight="1">
      <c r="B75" s="23">
        <v>302</v>
      </c>
      <c r="C75" s="24" t="s">
        <v>142</v>
      </c>
      <c r="D75" t="s">
        <v>308</v>
      </c>
      <c r="E75" s="26">
        <v>80</v>
      </c>
      <c r="F75" s="27">
        <v>6</v>
      </c>
      <c r="G75" s="20">
        <f t="shared" ref="G75:G97" si="3">E75*F75</f>
        <v>480</v>
      </c>
      <c r="H75" s="28">
        <v>0.59999999999999987</v>
      </c>
      <c r="I75" s="22">
        <f t="shared" ref="I75:I97" si="4">G75*H75</f>
        <v>287.99999999999994</v>
      </c>
      <c r="J75" t="s">
        <v>204</v>
      </c>
      <c r="K75" s="71">
        <f t="shared" ref="K75:K103" si="5">H75-0.05</f>
        <v>0.54999999999999982</v>
      </c>
    </row>
    <row r="76" spans="2:11" ht="20.399999999999999" customHeight="1">
      <c r="B76" s="23">
        <v>303</v>
      </c>
      <c r="C76" s="24" t="s">
        <v>144</v>
      </c>
      <c r="D76" t="s">
        <v>309</v>
      </c>
      <c r="E76" s="26">
        <v>45</v>
      </c>
      <c r="F76" s="27">
        <v>50</v>
      </c>
      <c r="G76" s="20">
        <f t="shared" si="3"/>
        <v>2250</v>
      </c>
      <c r="H76" s="28">
        <v>0.79999999999999993</v>
      </c>
      <c r="I76" s="22">
        <f t="shared" si="4"/>
        <v>1799.9999999999998</v>
      </c>
      <c r="K76" s="71">
        <f t="shared" si="5"/>
        <v>0.74999999999999989</v>
      </c>
    </row>
    <row r="77" spans="2:11" ht="20.399999999999999" customHeight="1">
      <c r="B77" s="23">
        <v>310</v>
      </c>
      <c r="C77" s="24" t="s">
        <v>146</v>
      </c>
      <c r="D77" t="s">
        <v>310</v>
      </c>
      <c r="E77" s="26">
        <v>45</v>
      </c>
      <c r="F77" s="27">
        <v>40</v>
      </c>
      <c r="G77" s="20">
        <f t="shared" si="3"/>
        <v>1800</v>
      </c>
      <c r="H77" s="28">
        <v>0.79999999999999993</v>
      </c>
      <c r="I77" s="22">
        <f t="shared" si="4"/>
        <v>1439.9999999999998</v>
      </c>
      <c r="J77" t="s">
        <v>204</v>
      </c>
      <c r="K77" s="71">
        <f t="shared" si="5"/>
        <v>0.74999999999999989</v>
      </c>
    </row>
    <row r="78" spans="2:11" ht="20.399999999999999" customHeight="1">
      <c r="B78" s="41">
        <v>313</v>
      </c>
      <c r="C78" s="42" t="s">
        <v>32</v>
      </c>
      <c r="D78" t="s">
        <v>259</v>
      </c>
      <c r="E78" s="42">
        <v>40</v>
      </c>
      <c r="F78" s="42">
        <v>5</v>
      </c>
      <c r="G78" s="20">
        <f t="shared" si="3"/>
        <v>200</v>
      </c>
      <c r="H78" s="43">
        <v>0.69999999999999984</v>
      </c>
      <c r="I78" s="22">
        <f t="shared" si="4"/>
        <v>139.99999999999997</v>
      </c>
      <c r="J78" t="s">
        <v>204</v>
      </c>
      <c r="K78" s="71">
        <f t="shared" si="5"/>
        <v>0.6499999999999998</v>
      </c>
    </row>
    <row r="79" spans="2:11" ht="20.399999999999999" customHeight="1">
      <c r="B79" s="41">
        <v>320</v>
      </c>
      <c r="C79" s="42" t="s">
        <v>148</v>
      </c>
      <c r="D79" t="s">
        <v>311</v>
      </c>
      <c r="E79" s="42">
        <v>40</v>
      </c>
      <c r="F79" s="42">
        <v>5</v>
      </c>
      <c r="G79" s="20">
        <f t="shared" si="3"/>
        <v>200</v>
      </c>
      <c r="H79" s="43">
        <v>0.69999999999999984</v>
      </c>
      <c r="I79" s="22">
        <f t="shared" si="4"/>
        <v>139.99999999999997</v>
      </c>
      <c r="J79" t="s">
        <v>204</v>
      </c>
      <c r="K79" s="71">
        <f t="shared" si="5"/>
        <v>0.6499999999999998</v>
      </c>
    </row>
    <row r="80" spans="2:11" ht="20.399999999999999" customHeight="1">
      <c r="B80" s="23">
        <v>323</v>
      </c>
      <c r="C80" s="24" t="s">
        <v>150</v>
      </c>
      <c r="D80" t="s">
        <v>312</v>
      </c>
      <c r="E80" s="26">
        <v>55</v>
      </c>
      <c r="F80" s="27">
        <v>15</v>
      </c>
      <c r="G80" s="20">
        <f t="shared" si="3"/>
        <v>825</v>
      </c>
      <c r="H80" s="28">
        <v>0.79999999999999993</v>
      </c>
      <c r="I80" s="22">
        <f t="shared" si="4"/>
        <v>660</v>
      </c>
      <c r="K80" s="71">
        <f t="shared" si="5"/>
        <v>0.74999999999999989</v>
      </c>
    </row>
    <row r="81" spans="2:11" ht="20.399999999999999" customHeight="1">
      <c r="B81" s="41">
        <v>328</v>
      </c>
      <c r="C81" s="42" t="s">
        <v>152</v>
      </c>
      <c r="D81" t="s">
        <v>313</v>
      </c>
      <c r="E81" s="42">
        <v>40</v>
      </c>
      <c r="F81" s="42">
        <v>48</v>
      </c>
      <c r="G81" s="20">
        <f t="shared" si="3"/>
        <v>1920</v>
      </c>
      <c r="H81" s="43">
        <v>1.2</v>
      </c>
      <c r="I81" s="22">
        <f t="shared" si="4"/>
        <v>2304</v>
      </c>
      <c r="J81" t="s">
        <v>204</v>
      </c>
      <c r="K81" s="71">
        <f t="shared" si="5"/>
        <v>1.1499999999999999</v>
      </c>
    </row>
    <row r="82" spans="2:11" ht="20.399999999999999" customHeight="1">
      <c r="B82" s="23">
        <v>337</v>
      </c>
      <c r="C82" s="24" t="s">
        <v>154</v>
      </c>
      <c r="D82" t="s">
        <v>314</v>
      </c>
      <c r="E82" s="26">
        <v>55</v>
      </c>
      <c r="F82" s="27">
        <v>58</v>
      </c>
      <c r="G82" s="20">
        <f t="shared" si="3"/>
        <v>3190</v>
      </c>
      <c r="H82" s="28">
        <v>0.64999999999999991</v>
      </c>
      <c r="I82" s="22">
        <f t="shared" si="4"/>
        <v>2073.4999999999995</v>
      </c>
      <c r="J82" t="s">
        <v>204</v>
      </c>
      <c r="K82" s="71">
        <f t="shared" si="5"/>
        <v>0.59999999999999987</v>
      </c>
    </row>
    <row r="83" spans="2:11" ht="20.399999999999999" customHeight="1">
      <c r="B83" s="41">
        <v>340</v>
      </c>
      <c r="C83" s="42" t="s">
        <v>156</v>
      </c>
      <c r="D83" t="s">
        <v>61</v>
      </c>
      <c r="E83" s="42">
        <v>40</v>
      </c>
      <c r="F83" s="42">
        <v>58</v>
      </c>
      <c r="G83" s="20">
        <f t="shared" si="3"/>
        <v>2320</v>
      </c>
      <c r="H83" s="43">
        <v>0.69999999999999984</v>
      </c>
      <c r="I83" s="22">
        <f t="shared" si="4"/>
        <v>1623.9999999999995</v>
      </c>
      <c r="J83" t="s">
        <v>204</v>
      </c>
      <c r="K83" s="71">
        <f t="shared" si="5"/>
        <v>0.6499999999999998</v>
      </c>
    </row>
    <row r="84" spans="2:11" ht="20.399999999999999" customHeight="1">
      <c r="B84" s="41">
        <v>342</v>
      </c>
      <c r="C84" s="42" t="s">
        <v>157</v>
      </c>
      <c r="D84" t="s">
        <v>315</v>
      </c>
      <c r="E84" s="42">
        <v>40</v>
      </c>
      <c r="F84" s="42">
        <v>5</v>
      </c>
      <c r="G84" s="20">
        <f t="shared" si="3"/>
        <v>200</v>
      </c>
      <c r="H84" s="43">
        <v>0.69999999999999984</v>
      </c>
      <c r="I84" s="22">
        <f t="shared" si="4"/>
        <v>139.99999999999997</v>
      </c>
      <c r="K84" s="71">
        <f t="shared" si="5"/>
        <v>0.6499999999999998</v>
      </c>
    </row>
    <row r="85" spans="2:11" ht="20.399999999999999" customHeight="1">
      <c r="B85" s="35">
        <v>346</v>
      </c>
      <c r="C85" s="36" t="s">
        <v>159</v>
      </c>
      <c r="D85" t="s">
        <v>160</v>
      </c>
      <c r="E85" s="37">
        <v>45</v>
      </c>
      <c r="F85" s="38">
        <v>10</v>
      </c>
      <c r="G85" s="20">
        <f t="shared" si="3"/>
        <v>450</v>
      </c>
      <c r="H85" s="39">
        <v>0.7</v>
      </c>
      <c r="I85" s="22">
        <f t="shared" si="4"/>
        <v>315</v>
      </c>
      <c r="J85" t="s">
        <v>204</v>
      </c>
      <c r="K85" s="71">
        <f t="shared" si="5"/>
        <v>0.64999999999999991</v>
      </c>
    </row>
    <row r="86" spans="2:11" ht="20.399999999999999" customHeight="1">
      <c r="B86" s="23">
        <v>350</v>
      </c>
      <c r="C86" s="24" t="s">
        <v>161</v>
      </c>
      <c r="D86" t="s">
        <v>316</v>
      </c>
      <c r="E86" s="26">
        <v>45</v>
      </c>
      <c r="F86" s="27">
        <v>40</v>
      </c>
      <c r="G86" s="20">
        <f t="shared" si="3"/>
        <v>1800</v>
      </c>
      <c r="H86" s="28">
        <v>0.79999999999999993</v>
      </c>
      <c r="I86" s="22">
        <f t="shared" si="4"/>
        <v>1439.9999999999998</v>
      </c>
      <c r="J86" t="s">
        <v>204</v>
      </c>
      <c r="K86" s="71">
        <f t="shared" si="5"/>
        <v>0.74999999999999989</v>
      </c>
    </row>
    <row r="87" spans="2:11" ht="20.399999999999999" customHeight="1">
      <c r="B87" s="41">
        <v>357</v>
      </c>
      <c r="C87" s="42" t="s">
        <v>163</v>
      </c>
      <c r="D87" t="s">
        <v>317</v>
      </c>
      <c r="E87" s="42">
        <v>45</v>
      </c>
      <c r="F87" s="42">
        <v>2</v>
      </c>
      <c r="G87" s="20">
        <f t="shared" si="3"/>
        <v>90</v>
      </c>
      <c r="H87" s="43">
        <v>0.69999999999999984</v>
      </c>
      <c r="I87" s="22">
        <f t="shared" si="4"/>
        <v>62.999999999999986</v>
      </c>
      <c r="J87" t="s">
        <v>204</v>
      </c>
      <c r="K87" s="71">
        <f t="shared" si="5"/>
        <v>0.6499999999999998</v>
      </c>
    </row>
    <row r="88" spans="2:11" ht="20.399999999999999" customHeight="1">
      <c r="B88" s="23">
        <v>358</v>
      </c>
      <c r="C88" s="24" t="s">
        <v>165</v>
      </c>
      <c r="D88" t="s">
        <v>289</v>
      </c>
      <c r="E88" s="26">
        <v>45</v>
      </c>
      <c r="F88" s="27">
        <v>10</v>
      </c>
      <c r="G88" s="20">
        <f t="shared" si="3"/>
        <v>450</v>
      </c>
      <c r="H88" s="28">
        <v>0.79999999999999993</v>
      </c>
      <c r="I88" s="22">
        <f t="shared" si="4"/>
        <v>359.99999999999994</v>
      </c>
      <c r="J88" t="s">
        <v>204</v>
      </c>
      <c r="K88" s="71">
        <f t="shared" si="5"/>
        <v>0.74999999999999989</v>
      </c>
    </row>
    <row r="89" spans="2:11" ht="20.399999999999999" customHeight="1">
      <c r="B89" s="41">
        <v>359</v>
      </c>
      <c r="C89" s="42" t="s">
        <v>166</v>
      </c>
      <c r="D89" t="s">
        <v>318</v>
      </c>
      <c r="E89" s="42">
        <v>40</v>
      </c>
      <c r="F89" s="42">
        <v>5</v>
      </c>
      <c r="G89" s="20">
        <f t="shared" si="3"/>
        <v>200</v>
      </c>
      <c r="H89" s="43">
        <v>0.69999999999999984</v>
      </c>
      <c r="I89" s="22">
        <f t="shared" si="4"/>
        <v>139.99999999999997</v>
      </c>
      <c r="K89" s="71">
        <f t="shared" si="5"/>
        <v>0.6499999999999998</v>
      </c>
    </row>
    <row r="90" spans="2:11" ht="20.399999999999999" customHeight="1">
      <c r="B90" s="41">
        <v>360</v>
      </c>
      <c r="C90" s="42" t="s">
        <v>168</v>
      </c>
      <c r="D90" t="s">
        <v>319</v>
      </c>
      <c r="E90" s="42">
        <v>45</v>
      </c>
      <c r="F90" s="27">
        <v>15</v>
      </c>
      <c r="G90" s="20">
        <f t="shared" si="3"/>
        <v>675</v>
      </c>
      <c r="H90" s="43">
        <v>0.69999999999999984</v>
      </c>
      <c r="I90" s="22">
        <f t="shared" si="4"/>
        <v>472.49999999999989</v>
      </c>
      <c r="K90" s="71">
        <f t="shared" si="5"/>
        <v>0.6499999999999998</v>
      </c>
    </row>
    <row r="91" spans="2:11" ht="20.399999999999999" customHeight="1">
      <c r="B91" s="41">
        <v>361</v>
      </c>
      <c r="C91" s="42" t="s">
        <v>169</v>
      </c>
      <c r="D91" t="s">
        <v>320</v>
      </c>
      <c r="E91" s="42">
        <v>45</v>
      </c>
      <c r="F91" s="42">
        <v>15</v>
      </c>
      <c r="G91" s="20">
        <f t="shared" si="3"/>
        <v>675</v>
      </c>
      <c r="H91" s="43">
        <v>0.69999999999999984</v>
      </c>
      <c r="I91" s="22">
        <f t="shared" si="4"/>
        <v>472.49999999999989</v>
      </c>
      <c r="K91" s="71">
        <f t="shared" si="5"/>
        <v>0.6499999999999998</v>
      </c>
    </row>
    <row r="92" spans="2:11" ht="20.399999999999999" customHeight="1">
      <c r="B92" s="23">
        <v>370</v>
      </c>
      <c r="C92" s="24" t="s">
        <v>171</v>
      </c>
      <c r="D92" t="s">
        <v>321</v>
      </c>
      <c r="E92" s="26">
        <v>45</v>
      </c>
      <c r="F92" s="27">
        <v>70</v>
      </c>
      <c r="G92" s="20">
        <f t="shared" si="3"/>
        <v>3150</v>
      </c>
      <c r="H92" s="28">
        <v>0.7</v>
      </c>
      <c r="I92" s="22">
        <f t="shared" si="4"/>
        <v>2205</v>
      </c>
      <c r="J92" t="s">
        <v>204</v>
      </c>
      <c r="K92" s="71">
        <f t="shared" si="5"/>
        <v>0.64999999999999991</v>
      </c>
    </row>
    <row r="93" spans="2:11" ht="20.399999999999999" customHeight="1">
      <c r="B93" s="23">
        <v>373</v>
      </c>
      <c r="C93" s="24" t="s">
        <v>78</v>
      </c>
      <c r="D93" t="s">
        <v>79</v>
      </c>
      <c r="E93" s="26">
        <v>80</v>
      </c>
      <c r="F93" s="27">
        <v>3</v>
      </c>
      <c r="G93" s="20">
        <f t="shared" si="3"/>
        <v>240</v>
      </c>
      <c r="H93" s="28">
        <v>0.59999999999999987</v>
      </c>
      <c r="I93" s="22">
        <f t="shared" si="4"/>
        <v>143.99999999999997</v>
      </c>
      <c r="J93" t="s">
        <v>204</v>
      </c>
      <c r="K93" s="71">
        <f t="shared" si="5"/>
        <v>0.54999999999999982</v>
      </c>
    </row>
    <row r="94" spans="2:11" ht="20.399999999999999" customHeight="1">
      <c r="B94" s="41">
        <v>390</v>
      </c>
      <c r="C94" s="42" t="s">
        <v>173</v>
      </c>
      <c r="D94" t="s">
        <v>284</v>
      </c>
      <c r="E94" s="42">
        <v>25</v>
      </c>
      <c r="F94" s="42">
        <v>20</v>
      </c>
      <c r="G94" s="20">
        <f t="shared" si="3"/>
        <v>500</v>
      </c>
      <c r="H94" s="43">
        <v>0.69999999999999984</v>
      </c>
      <c r="I94" s="22">
        <f t="shared" si="4"/>
        <v>349.99999999999994</v>
      </c>
      <c r="J94" t="s">
        <v>204</v>
      </c>
      <c r="K94" s="71">
        <f t="shared" si="5"/>
        <v>0.6499999999999998</v>
      </c>
    </row>
    <row r="95" spans="2:11" ht="20.399999999999999" customHeight="1">
      <c r="B95" s="23">
        <v>395</v>
      </c>
      <c r="C95" s="24" t="s">
        <v>175</v>
      </c>
      <c r="D95" t="s">
        <v>322</v>
      </c>
      <c r="E95" s="26">
        <v>40</v>
      </c>
      <c r="F95" s="27">
        <v>20</v>
      </c>
      <c r="G95" s="20">
        <f t="shared" si="3"/>
        <v>800</v>
      </c>
      <c r="H95" s="28">
        <v>0.79999999999999993</v>
      </c>
      <c r="I95" s="22">
        <f t="shared" si="4"/>
        <v>640</v>
      </c>
      <c r="J95" t="s">
        <v>204</v>
      </c>
      <c r="K95" s="71">
        <f t="shared" si="5"/>
        <v>0.74999999999999989</v>
      </c>
    </row>
    <row r="96" spans="2:11" ht="20.399999999999999" customHeight="1">
      <c r="B96" s="53">
        <v>396</v>
      </c>
      <c r="C96" s="60" t="s">
        <v>177</v>
      </c>
      <c r="D96" t="s">
        <v>289</v>
      </c>
      <c r="E96" s="55">
        <v>55</v>
      </c>
      <c r="F96" s="56">
        <v>20</v>
      </c>
      <c r="G96" s="20">
        <f t="shared" si="3"/>
        <v>1100</v>
      </c>
      <c r="H96" s="57">
        <v>0.79999999999999993</v>
      </c>
      <c r="I96" s="22">
        <f t="shared" si="4"/>
        <v>879.99999999999989</v>
      </c>
      <c r="K96" s="71">
        <f t="shared" si="5"/>
        <v>0.74999999999999989</v>
      </c>
    </row>
    <row r="97" spans="2:11" ht="20.399999999999999" customHeight="1" thickBot="1">
      <c r="B97" s="61">
        <v>910</v>
      </c>
      <c r="C97" s="62" t="s">
        <v>179</v>
      </c>
      <c r="D97" t="s">
        <v>323</v>
      </c>
      <c r="E97" s="62">
        <v>22</v>
      </c>
      <c r="F97" s="62">
        <v>142</v>
      </c>
      <c r="G97" s="20">
        <f t="shared" si="3"/>
        <v>3124</v>
      </c>
      <c r="H97" s="63">
        <v>1.0999999999999999</v>
      </c>
      <c r="I97" s="22">
        <f t="shared" si="4"/>
        <v>3436.3999999999996</v>
      </c>
      <c r="J97" t="s">
        <v>204</v>
      </c>
      <c r="K97" s="71">
        <f t="shared" si="5"/>
        <v>1.0499999999999998</v>
      </c>
    </row>
    <row r="98" spans="2:11" ht="14.4" thickBot="1">
      <c r="B98" s="5"/>
      <c r="C98" s="10"/>
      <c r="D98" s="138" t="s">
        <v>324</v>
      </c>
      <c r="E98" s="10"/>
      <c r="F98" s="12"/>
      <c r="G98" s="13"/>
      <c r="H98" s="12"/>
      <c r="I98" s="12"/>
      <c r="K98" s="71"/>
    </row>
    <row r="99" spans="2:11" ht="20.399999999999999" customHeight="1">
      <c r="B99" s="51">
        <v>607</v>
      </c>
      <c r="C99" s="16" t="s">
        <v>182</v>
      </c>
      <c r="D99" t="s">
        <v>325</v>
      </c>
      <c r="E99" s="18">
        <v>80</v>
      </c>
      <c r="F99" s="19">
        <v>10</v>
      </c>
      <c r="G99" s="20">
        <f>E99*F99</f>
        <v>800</v>
      </c>
      <c r="H99" s="21">
        <v>0.89999999999999991</v>
      </c>
      <c r="I99" s="22">
        <f>G99*H99</f>
        <v>719.99999999999989</v>
      </c>
      <c r="K99" s="71">
        <f t="shared" si="5"/>
        <v>0.84999999999999987</v>
      </c>
    </row>
    <row r="100" spans="2:11" ht="20.399999999999999" customHeight="1">
      <c r="B100" s="23">
        <v>616</v>
      </c>
      <c r="C100" s="33" t="s">
        <v>184</v>
      </c>
      <c r="D100" t="s">
        <v>326</v>
      </c>
      <c r="E100" s="26">
        <v>80</v>
      </c>
      <c r="F100" s="27">
        <v>28</v>
      </c>
      <c r="G100" s="20">
        <f t="shared" ref="G100:G103" si="6">E100*F100</f>
        <v>2240</v>
      </c>
      <c r="H100" s="28">
        <v>0.59999999999999987</v>
      </c>
      <c r="I100" s="22">
        <f t="shared" ref="I100:I103" si="7">G100*H100</f>
        <v>1343.9999999999998</v>
      </c>
      <c r="K100" s="71">
        <f t="shared" si="5"/>
        <v>0.54999999999999982</v>
      </c>
    </row>
    <row r="101" spans="2:11" ht="20.399999999999999" customHeight="1">
      <c r="B101" s="23">
        <v>640</v>
      </c>
      <c r="C101" s="24" t="s">
        <v>186</v>
      </c>
      <c r="D101" t="s">
        <v>327</v>
      </c>
      <c r="E101" s="26">
        <v>55</v>
      </c>
      <c r="F101" s="27">
        <v>40</v>
      </c>
      <c r="G101" s="20">
        <f t="shared" si="6"/>
        <v>2200</v>
      </c>
      <c r="H101" s="28">
        <v>1.0599999999999998</v>
      </c>
      <c r="I101" s="22">
        <f t="shared" si="7"/>
        <v>2331.9999999999995</v>
      </c>
      <c r="K101" s="71">
        <f t="shared" si="5"/>
        <v>1.0099999999999998</v>
      </c>
    </row>
    <row r="102" spans="2:11" ht="20.399999999999999" customHeight="1">
      <c r="B102" s="23">
        <v>649</v>
      </c>
      <c r="C102" s="46" t="s">
        <v>188</v>
      </c>
      <c r="D102" t="s">
        <v>326</v>
      </c>
      <c r="E102" s="26">
        <v>80</v>
      </c>
      <c r="F102" s="27">
        <v>42</v>
      </c>
      <c r="G102" s="20">
        <f t="shared" si="6"/>
        <v>3360</v>
      </c>
      <c r="H102" s="28">
        <v>1.0999999999999999</v>
      </c>
      <c r="I102" s="22">
        <f t="shared" si="7"/>
        <v>3695.9999999999995</v>
      </c>
      <c r="K102" s="71">
        <f t="shared" si="5"/>
        <v>1.0499999999999998</v>
      </c>
    </row>
    <row r="103" spans="2:11" ht="20.399999999999999" customHeight="1">
      <c r="B103" s="23">
        <v>680</v>
      </c>
      <c r="C103" s="24" t="s">
        <v>189</v>
      </c>
      <c r="D103" t="s">
        <v>305</v>
      </c>
      <c r="E103" s="26">
        <v>80</v>
      </c>
      <c r="F103" s="27">
        <v>10</v>
      </c>
      <c r="G103" s="20">
        <f t="shared" si="6"/>
        <v>800</v>
      </c>
      <c r="H103" s="28">
        <v>0.7</v>
      </c>
      <c r="I103" s="22">
        <f t="shared" si="7"/>
        <v>560</v>
      </c>
      <c r="K103" s="71">
        <f t="shared" si="5"/>
        <v>0.64999999999999991</v>
      </c>
    </row>
    <row r="104" spans="2:11" ht="22.8" customHeight="1">
      <c r="B104" s="65"/>
      <c r="C104" s="66"/>
      <c r="D104" s="138" t="s">
        <v>328</v>
      </c>
      <c r="E104" s="72"/>
      <c r="F104" s="72"/>
      <c r="G104" s="72"/>
      <c r="H104" s="67"/>
      <c r="I104" s="68"/>
    </row>
    <row r="105" spans="2:11" ht="20.399999999999999" customHeight="1">
      <c r="B105" s="30">
        <v>405</v>
      </c>
      <c r="C105" s="31" t="s">
        <v>191</v>
      </c>
      <c r="D105" t="s">
        <v>329</v>
      </c>
      <c r="E105" s="26">
        <v>25</v>
      </c>
      <c r="F105" s="27">
        <v>5</v>
      </c>
      <c r="G105" s="69">
        <f>E105*F105</f>
        <v>125</v>
      </c>
      <c r="H105" s="32">
        <v>2.5</v>
      </c>
      <c r="I105" s="70">
        <f>G105*H105</f>
        <v>312.5</v>
      </c>
      <c r="J105" t="s">
        <v>204</v>
      </c>
      <c r="K105" s="71">
        <f>H105-0.1</f>
        <v>2.4</v>
      </c>
    </row>
    <row r="106" spans="2:11" ht="20.399999999999999" customHeight="1">
      <c r="B106" s="30">
        <v>435</v>
      </c>
      <c r="C106" s="31" t="s">
        <v>193</v>
      </c>
      <c r="D106" t="s">
        <v>330</v>
      </c>
      <c r="E106" s="26">
        <v>10</v>
      </c>
      <c r="F106" s="27">
        <v>13</v>
      </c>
      <c r="G106" s="69">
        <f t="shared" ref="G106:G110" si="8">E106*F106</f>
        <v>130</v>
      </c>
      <c r="H106" s="32">
        <v>2.5</v>
      </c>
      <c r="I106" s="70">
        <f t="shared" ref="I106:I110" si="9">G106*H106</f>
        <v>325</v>
      </c>
      <c r="K106" s="71">
        <f t="shared" ref="K106:K110" si="10">H106-0.1</f>
        <v>2.4</v>
      </c>
    </row>
    <row r="107" spans="2:11" ht="20.399999999999999" customHeight="1">
      <c r="B107" s="23">
        <v>850</v>
      </c>
      <c r="C107" s="24" t="s">
        <v>195</v>
      </c>
      <c r="D107" t="s">
        <v>331</v>
      </c>
      <c r="E107" s="26">
        <v>15</v>
      </c>
      <c r="F107" s="27">
        <v>20</v>
      </c>
      <c r="G107" s="69">
        <f t="shared" si="8"/>
        <v>300</v>
      </c>
      <c r="H107" s="28">
        <v>0.65</v>
      </c>
      <c r="I107" s="70">
        <f t="shared" si="9"/>
        <v>195</v>
      </c>
      <c r="J107" t="s">
        <v>204</v>
      </c>
      <c r="K107" s="71">
        <f t="shared" si="10"/>
        <v>0.55000000000000004</v>
      </c>
    </row>
    <row r="108" spans="2:11" ht="20.399999999999999" customHeight="1">
      <c r="B108" s="23">
        <v>865</v>
      </c>
      <c r="C108" s="24" t="s">
        <v>197</v>
      </c>
      <c r="D108" t="s">
        <v>198</v>
      </c>
      <c r="E108" s="26">
        <v>20</v>
      </c>
      <c r="F108" s="27">
        <v>60</v>
      </c>
      <c r="G108" s="69">
        <f t="shared" si="8"/>
        <v>1200</v>
      </c>
      <c r="H108" s="28">
        <v>0.60000000000000009</v>
      </c>
      <c r="I108" s="70">
        <f t="shared" si="9"/>
        <v>720.00000000000011</v>
      </c>
      <c r="J108" t="s">
        <v>204</v>
      </c>
      <c r="K108" s="71">
        <f t="shared" si="10"/>
        <v>0.50000000000000011</v>
      </c>
    </row>
    <row r="109" spans="2:11" ht="20.399999999999999" customHeight="1">
      <c r="B109" s="23">
        <v>870</v>
      </c>
      <c r="C109" s="24" t="s">
        <v>199</v>
      </c>
      <c r="D109" t="s">
        <v>332</v>
      </c>
      <c r="E109" s="26">
        <v>200</v>
      </c>
      <c r="F109" s="27">
        <v>1</v>
      </c>
      <c r="G109" s="69">
        <f t="shared" si="8"/>
        <v>200</v>
      </c>
      <c r="H109" s="28">
        <v>2.2999999999999998</v>
      </c>
      <c r="I109" s="70">
        <f t="shared" si="9"/>
        <v>459.99999999999994</v>
      </c>
      <c r="J109" t="s">
        <v>204</v>
      </c>
      <c r="K109" s="71">
        <f t="shared" si="10"/>
        <v>2.1999999999999997</v>
      </c>
    </row>
    <row r="110" spans="2:11" ht="20.399999999999999" customHeight="1">
      <c r="B110" s="23">
        <v>1025</v>
      </c>
      <c r="C110" s="24" t="s">
        <v>201</v>
      </c>
      <c r="D110" t="s">
        <v>333</v>
      </c>
      <c r="E110" s="26">
        <v>25</v>
      </c>
      <c r="F110" s="27">
        <v>3</v>
      </c>
      <c r="G110" s="69">
        <f t="shared" si="8"/>
        <v>75</v>
      </c>
      <c r="H110" s="28">
        <v>1.5999999999999999</v>
      </c>
      <c r="I110" s="70">
        <f t="shared" si="9"/>
        <v>119.99999999999999</v>
      </c>
      <c r="J110" t="s">
        <v>204</v>
      </c>
      <c r="K110" s="71">
        <f t="shared" si="10"/>
        <v>1.4999999999999998</v>
      </c>
    </row>
    <row r="112" spans="2:11">
      <c r="C112" s="155" t="s">
        <v>203</v>
      </c>
      <c r="D112" s="155"/>
    </row>
    <row r="114" spans="3:3">
      <c r="C114" t="s">
        <v>11</v>
      </c>
    </row>
    <row r="115" spans="3:3">
      <c r="C115" t="s">
        <v>13</v>
      </c>
    </row>
    <row r="116" spans="3:3">
      <c r="C116" t="s">
        <v>15</v>
      </c>
    </row>
    <row r="117" spans="3:3">
      <c r="C117" t="s">
        <v>17</v>
      </c>
    </row>
    <row r="118" spans="3:3">
      <c r="C118" t="s">
        <v>19</v>
      </c>
    </row>
    <row r="119" spans="3:3">
      <c r="C119" t="s">
        <v>21</v>
      </c>
    </row>
    <row r="120" spans="3:3">
      <c r="C120" t="s">
        <v>23</v>
      </c>
    </row>
    <row r="121" spans="3:3">
      <c r="C121" t="s">
        <v>25</v>
      </c>
    </row>
    <row r="122" spans="3:3">
      <c r="C122" t="s">
        <v>27</v>
      </c>
    </row>
    <row r="123" spans="3:3">
      <c r="C123" t="s">
        <v>29</v>
      </c>
    </row>
    <row r="124" spans="3:3">
      <c r="C124" t="s">
        <v>31</v>
      </c>
    </row>
    <row r="125" spans="3:3">
      <c r="C125" t="s">
        <v>33</v>
      </c>
    </row>
    <row r="126" spans="3:3">
      <c r="C126" t="s">
        <v>35</v>
      </c>
    </row>
    <row r="127" spans="3:3">
      <c r="C127" t="s">
        <v>37</v>
      </c>
    </row>
    <row r="128" spans="3:3">
      <c r="C128" t="s">
        <v>39</v>
      </c>
    </row>
    <row r="129" spans="3:4">
      <c r="C129" t="s">
        <v>41</v>
      </c>
    </row>
    <row r="130" spans="3:4">
      <c r="C130" t="s">
        <v>43</v>
      </c>
    </row>
    <row r="131" spans="3:4">
      <c r="C131" t="s">
        <v>45</v>
      </c>
    </row>
    <row r="132" spans="3:4">
      <c r="C132" t="s">
        <v>47</v>
      </c>
    </row>
    <row r="133" spans="3:4">
      <c r="C133" t="s">
        <v>49</v>
      </c>
    </row>
    <row r="134" spans="3:4">
      <c r="C134" t="s">
        <v>51</v>
      </c>
    </row>
    <row r="135" spans="3:4">
      <c r="C135" t="s">
        <v>53</v>
      </c>
      <c r="D135" s="149"/>
    </row>
    <row r="136" spans="3:4">
      <c r="C136" t="s">
        <v>55</v>
      </c>
      <c r="D136" s="150" t="s">
        <v>242</v>
      </c>
    </row>
    <row r="137" spans="3:4">
      <c r="C137" t="s">
        <v>57</v>
      </c>
      <c r="D137" s="150" t="s">
        <v>243</v>
      </c>
    </row>
    <row r="138" spans="3:4">
      <c r="C138" t="s">
        <v>59</v>
      </c>
      <c r="D138" s="150" t="s">
        <v>244</v>
      </c>
    </row>
    <row r="139" spans="3:4">
      <c r="C139" t="s">
        <v>61</v>
      </c>
      <c r="D139" s="150" t="s">
        <v>245</v>
      </c>
    </row>
    <row r="140" spans="3:4">
      <c r="C140" t="s">
        <v>63</v>
      </c>
      <c r="D140" s="150" t="s">
        <v>246</v>
      </c>
    </row>
    <row r="141" spans="3:4">
      <c r="C141" t="s">
        <v>65</v>
      </c>
      <c r="D141" s="150" t="s">
        <v>247</v>
      </c>
    </row>
    <row r="142" spans="3:4">
      <c r="C142" t="s">
        <v>67</v>
      </c>
    </row>
    <row r="143" spans="3:4">
      <c r="C143" t="s">
        <v>69</v>
      </c>
    </row>
    <row r="144" spans="3:4">
      <c r="C144" t="s">
        <v>71</v>
      </c>
    </row>
    <row r="145" spans="3:3">
      <c r="C145" t="s">
        <v>73</v>
      </c>
    </row>
    <row r="146" spans="3:3">
      <c r="C146" t="s">
        <v>75</v>
      </c>
    </row>
    <row r="147" spans="3:3">
      <c r="C147" t="s">
        <v>77</v>
      </c>
    </row>
    <row r="148" spans="3:3">
      <c r="C148" t="s">
        <v>79</v>
      </c>
    </row>
    <row r="149" spans="3:3">
      <c r="C149" t="s">
        <v>81</v>
      </c>
    </row>
    <row r="150" spans="3:3">
      <c r="C150" t="s">
        <v>83</v>
      </c>
    </row>
    <row r="151" spans="3:3">
      <c r="C151" t="s">
        <v>85</v>
      </c>
    </row>
    <row r="152" spans="3:3">
      <c r="C152" t="s">
        <v>87</v>
      </c>
    </row>
    <row r="153" spans="3:3">
      <c r="C153" t="s">
        <v>89</v>
      </c>
    </row>
    <row r="154" spans="3:3">
      <c r="C154" t="s">
        <v>91</v>
      </c>
    </row>
    <row r="155" spans="3:3">
      <c r="C155" t="s">
        <v>93</v>
      </c>
    </row>
    <row r="156" spans="3:3">
      <c r="C156" t="s">
        <v>95</v>
      </c>
    </row>
    <row r="157" spans="3:3">
      <c r="C157" t="s">
        <v>97</v>
      </c>
    </row>
    <row r="158" spans="3:3">
      <c r="C158" t="s">
        <v>99</v>
      </c>
    </row>
    <row r="159" spans="3:3">
      <c r="C159" t="s">
        <v>101</v>
      </c>
    </row>
    <row r="160" spans="3:3">
      <c r="C160" t="s">
        <v>103</v>
      </c>
    </row>
    <row r="161" spans="3:3">
      <c r="C161" t="s">
        <v>105</v>
      </c>
    </row>
    <row r="162" spans="3:3">
      <c r="C162" t="s">
        <v>107</v>
      </c>
    </row>
    <row r="163" spans="3:3">
      <c r="C163" t="s">
        <v>109</v>
      </c>
    </row>
    <row r="164" spans="3:3">
      <c r="C164" t="s">
        <v>111</v>
      </c>
    </row>
    <row r="165" spans="3:3">
      <c r="C165" t="s">
        <v>113</v>
      </c>
    </row>
    <row r="166" spans="3:3">
      <c r="C166" t="s">
        <v>115</v>
      </c>
    </row>
    <row r="167" spans="3:3">
      <c r="C167" t="s">
        <v>117</v>
      </c>
    </row>
    <row r="168" spans="3:3">
      <c r="C168" t="s">
        <v>119</v>
      </c>
    </row>
    <row r="169" spans="3:3">
      <c r="C169" t="s">
        <v>121</v>
      </c>
    </row>
    <row r="170" spans="3:3">
      <c r="C170" t="s">
        <v>123</v>
      </c>
    </row>
    <row r="171" spans="3:3">
      <c r="C171" t="s">
        <v>123</v>
      </c>
    </row>
    <row r="172" spans="3:3">
      <c r="C172" t="s">
        <v>126</v>
      </c>
    </row>
    <row r="173" spans="3:3">
      <c r="C173" t="s">
        <v>128</v>
      </c>
    </row>
    <row r="174" spans="3:3">
      <c r="C174" t="s">
        <v>130</v>
      </c>
    </row>
    <row r="175" spans="3:3">
      <c r="C175" t="s">
        <v>132</v>
      </c>
    </row>
    <row r="176" spans="3:3">
      <c r="C176" t="s">
        <v>134</v>
      </c>
    </row>
    <row r="177" spans="3:3">
      <c r="C177" t="s">
        <v>135</v>
      </c>
    </row>
    <row r="178" spans="3:3">
      <c r="C178" t="s">
        <v>137</v>
      </c>
    </row>
    <row r="179" spans="3:3">
      <c r="C179" t="s">
        <v>139</v>
      </c>
    </row>
    <row r="180" spans="3:3">
      <c r="C180" t="s">
        <v>140</v>
      </c>
    </row>
    <row r="181" spans="3:3">
      <c r="C181" t="s">
        <v>13</v>
      </c>
    </row>
    <row r="182" spans="3:3">
      <c r="C182" t="s">
        <v>143</v>
      </c>
    </row>
    <row r="183" spans="3:3">
      <c r="C183" t="s">
        <v>145</v>
      </c>
    </row>
    <row r="184" spans="3:3">
      <c r="C184" t="s">
        <v>147</v>
      </c>
    </row>
    <row r="185" spans="3:3">
      <c r="C185" t="s">
        <v>35</v>
      </c>
    </row>
    <row r="186" spans="3:3">
      <c r="C186" t="s">
        <v>149</v>
      </c>
    </row>
    <row r="187" spans="3:3">
      <c r="C187" t="s">
        <v>151</v>
      </c>
    </row>
    <row r="188" spans="3:3">
      <c r="C188" t="s">
        <v>153</v>
      </c>
    </row>
    <row r="189" spans="3:3">
      <c r="C189" t="s">
        <v>155</v>
      </c>
    </row>
    <row r="190" spans="3:3">
      <c r="C190" t="s">
        <v>61</v>
      </c>
    </row>
    <row r="191" spans="3:3">
      <c r="C191" t="s">
        <v>158</v>
      </c>
    </row>
    <row r="192" spans="3:3">
      <c r="C192" t="s">
        <v>160</v>
      </c>
    </row>
    <row r="193" spans="3:3">
      <c r="C193" t="s">
        <v>162</v>
      </c>
    </row>
    <row r="194" spans="3:3">
      <c r="C194" t="s">
        <v>164</v>
      </c>
    </row>
    <row r="195" spans="3:3">
      <c r="C195" t="s">
        <v>105</v>
      </c>
    </row>
    <row r="196" spans="3:3">
      <c r="C196" t="s">
        <v>167</v>
      </c>
    </row>
    <row r="197" spans="3:3">
      <c r="C197" t="s">
        <v>71</v>
      </c>
    </row>
    <row r="198" spans="3:3">
      <c r="C198" t="s">
        <v>170</v>
      </c>
    </row>
    <row r="199" spans="3:3">
      <c r="C199" t="s">
        <v>77</v>
      </c>
    </row>
    <row r="200" spans="3:3">
      <c r="C200" t="s">
        <v>79</v>
      </c>
    </row>
    <row r="201" spans="3:3">
      <c r="C201" t="s">
        <v>174</v>
      </c>
    </row>
    <row r="202" spans="3:3">
      <c r="C202" t="s">
        <v>176</v>
      </c>
    </row>
    <row r="203" spans="3:3">
      <c r="C203" t="s">
        <v>178</v>
      </c>
    </row>
    <row r="204" spans="3:3">
      <c r="C204" t="s">
        <v>180</v>
      </c>
    </row>
    <row r="205" spans="3:3">
      <c r="C205" t="s">
        <v>181</v>
      </c>
    </row>
    <row r="206" spans="3:3">
      <c r="C206" t="s">
        <v>183</v>
      </c>
    </row>
    <row r="207" spans="3:3">
      <c r="C207" t="s">
        <v>185</v>
      </c>
    </row>
    <row r="208" spans="3:3">
      <c r="C208" t="s">
        <v>187</v>
      </c>
    </row>
    <row r="209" spans="3:3">
      <c r="C209" t="s">
        <v>185</v>
      </c>
    </row>
    <row r="210" spans="3:3">
      <c r="C210" t="s">
        <v>139</v>
      </c>
    </row>
    <row r="211" spans="3:3">
      <c r="C211" t="s">
        <v>190</v>
      </c>
    </row>
    <row r="212" spans="3:3">
      <c r="C212" t="s">
        <v>192</v>
      </c>
    </row>
    <row r="213" spans="3:3">
      <c r="C213" t="s">
        <v>194</v>
      </c>
    </row>
    <row r="214" spans="3:3">
      <c r="C214" t="s">
        <v>196</v>
      </c>
    </row>
    <row r="215" spans="3:3">
      <c r="C215" t="s">
        <v>198</v>
      </c>
    </row>
    <row r="216" spans="3:3">
      <c r="C216" t="s">
        <v>200</v>
      </c>
    </row>
    <row r="217" spans="3:3">
      <c r="C217" t="s">
        <v>202</v>
      </c>
    </row>
  </sheetData>
  <mergeCells count="1">
    <mergeCell ref="C112:D112"/>
  </mergeCells>
  <conditionalFormatting sqref="B6:B68">
    <cfRule type="duplicateValues" dxfId="14" priority="7"/>
  </conditionalFormatting>
  <conditionalFormatting sqref="B69 B104:B106">
    <cfRule type="duplicateValues" dxfId="13" priority="6"/>
  </conditionalFormatting>
  <conditionalFormatting sqref="B70:B72">
    <cfRule type="duplicateValues" dxfId="12" priority="5"/>
  </conditionalFormatting>
  <conditionalFormatting sqref="B73:B96">
    <cfRule type="duplicateValues" dxfId="11" priority="4"/>
  </conditionalFormatting>
  <conditionalFormatting sqref="B98:B103">
    <cfRule type="duplicateValues" dxfId="10" priority="3"/>
  </conditionalFormatting>
  <conditionalFormatting sqref="B107:B110 B97">
    <cfRule type="duplicateValues" dxfId="9" priority="2"/>
  </conditionalFormatting>
  <conditionalFormatting sqref="F3">
    <cfRule type="duplicateValues" dxfId="8" priority="1"/>
  </conditionalFormatting>
  <pageMargins left="0.25" right="0.25" top="0.75" bottom="0.75" header="0.3" footer="0.3"/>
  <pageSetup paperSize="9" scale="54" fitToHeight="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5</vt:i4>
      </vt:variant>
    </vt:vector>
  </HeadingPairs>
  <TitlesOfParts>
    <vt:vector size="13" baseType="lpstr">
      <vt:lpstr>LISTE CATEGORIE</vt:lpstr>
      <vt:lpstr>Feuil5</vt:lpstr>
      <vt:lpstr>Feuil1</vt:lpstr>
      <vt:lpstr>Feuil2</vt:lpstr>
      <vt:lpstr>Feuil3</vt:lpstr>
      <vt:lpstr>Feuil2 (2)</vt:lpstr>
      <vt:lpstr>Feuil4</vt:lpstr>
      <vt:lpstr>LISTE CATEGORIE (2)</vt:lpstr>
      <vt:lpstr>Feuil2!Zone_d_impression</vt:lpstr>
      <vt:lpstr>'Feuil2 (2)'!Zone_d_impression</vt:lpstr>
      <vt:lpstr>Feuil4!Zone_d_impression</vt:lpstr>
      <vt:lpstr>'LISTE CATEGORIE'!Zone_d_impression</vt:lpstr>
      <vt:lpstr>'LISTE CATEGORIE (2)'!Zone_d_impression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habibchorfa</dc:creator>
  <cp:lastModifiedBy>sabir</cp:lastModifiedBy>
  <cp:lastPrinted>2025-02-12T09:38:31Z</cp:lastPrinted>
  <dcterms:created xsi:type="dcterms:W3CDTF">2024-06-05T10:07:14Z</dcterms:created>
  <dcterms:modified xsi:type="dcterms:W3CDTF">2025-02-18T10:30:52Z</dcterms:modified>
</cp:coreProperties>
</file>